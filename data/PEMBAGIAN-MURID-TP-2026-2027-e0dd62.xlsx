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mlah" sheetId="1" r:id="rId4"/>
    <sheet state="visible" name="KELAS 1" sheetId="2" r:id="rId5"/>
    <sheet state="visible" name="KELAS 2" sheetId="3" r:id="rId6"/>
    <sheet state="visible" name="KELAS 3" sheetId="4" r:id="rId7"/>
    <sheet state="visible" name="KELAS 4" sheetId="5" r:id="rId8"/>
    <sheet state="visible" name="KELAS 5" sheetId="6" r:id="rId9"/>
    <sheet state="visible" name="KELAS 6" sheetId="7" r:id="rId10"/>
  </sheets>
  <definedNames>
    <definedName hidden="1" localSheetId="2" name="_xlnm._FilterDatabase">'KELAS 2'!$S$4:$V$29</definedName>
    <definedName hidden="1" localSheetId="3" name="_xlnm._FilterDatabase">'KELAS 3'!$G$4:$J$29</definedName>
    <definedName hidden="1" localSheetId="4" name="_xlnm._FilterDatabase">'KELAS 4'!$A$4:$D$29</definedName>
    <definedName hidden="1" localSheetId="5" name="_xlnm._FilterDatabase">'KELAS 5'!$A$5:$D$28</definedName>
    <definedName hidden="1" localSheetId="6" name="_xlnm._FilterDatabase">'KELAS 6'!$K$4:$N$26</definedName>
  </definedNames>
  <calcPr/>
</workbook>
</file>

<file path=xl/sharedStrings.xml><?xml version="1.0" encoding="utf-8"?>
<sst xmlns="http://schemas.openxmlformats.org/spreadsheetml/2006/main" count="1777" uniqueCount="670">
  <si>
    <t>KELAS</t>
  </si>
  <si>
    <t>NAMA KELAS</t>
  </si>
  <si>
    <t>GURU KELAS</t>
  </si>
  <si>
    <t xml:space="preserve">JUMLAH </t>
  </si>
  <si>
    <t>1A</t>
  </si>
  <si>
    <t>1A Ibnu Sina</t>
  </si>
  <si>
    <t>Nur Avihani, S.Pd.</t>
  </si>
  <si>
    <t>1B</t>
  </si>
  <si>
    <t>1B Ibnu Haitham</t>
  </si>
  <si>
    <t>Opi Kurniawati, S.Pd</t>
  </si>
  <si>
    <t>1C</t>
  </si>
  <si>
    <t>1C Ibnu Khaldun</t>
  </si>
  <si>
    <t>Syafiqotul Azizah, S.Pd.</t>
  </si>
  <si>
    <t>1D</t>
  </si>
  <si>
    <t>1D Ibnu Rusyd</t>
  </si>
  <si>
    <t>Chorina Nursiam, S.Pd.</t>
  </si>
  <si>
    <t>2A</t>
  </si>
  <si>
    <t>2A Al Zahrawi</t>
  </si>
  <si>
    <t>Dhayinta Citra Apsari, S.Pd.</t>
  </si>
  <si>
    <t>2B</t>
  </si>
  <si>
    <t>2B Al Khawarizmi</t>
  </si>
  <si>
    <t>Mutiara Rahma, S.Pd.</t>
  </si>
  <si>
    <t>2C</t>
  </si>
  <si>
    <t>2C Al Saghani</t>
  </si>
  <si>
    <t>Nila Dwitry Aprillia, S.Pd.</t>
  </si>
  <si>
    <t>2D</t>
  </si>
  <si>
    <t>2D Al Farabi</t>
  </si>
  <si>
    <t>Iscan Ilham Nursaid, S.Pd.</t>
  </si>
  <si>
    <t>3A</t>
  </si>
  <si>
    <t>3A Ibnu Al Banna</t>
  </si>
  <si>
    <t>Khafidhotu Risqiyah, S.Pd</t>
  </si>
  <si>
    <t>3B</t>
  </si>
  <si>
    <t>3B Ibnu Al Baithar</t>
  </si>
  <si>
    <t>Fajriatun Nazilla, S.Pd</t>
  </si>
  <si>
    <t>3C</t>
  </si>
  <si>
    <t>3C Ibnu Al Nafis</t>
  </si>
  <si>
    <t>Wilda Faza, S.Pd.</t>
  </si>
  <si>
    <t>3D</t>
  </si>
  <si>
    <t>3D Ibnu Al Jawzi</t>
  </si>
  <si>
    <t>Asyafiul Musyafa' Alfaris, S.Pd.</t>
  </si>
  <si>
    <t>4A</t>
  </si>
  <si>
    <t>4A Al Jazari</t>
  </si>
  <si>
    <t>Nur Anisah, S.Pd.</t>
  </si>
  <si>
    <t>4B</t>
  </si>
  <si>
    <t>4B Al Ghazali</t>
  </si>
  <si>
    <t>Ika Yuni Aryanti, S.Pd.</t>
  </si>
  <si>
    <t>4C</t>
  </si>
  <si>
    <t>4C Al Battani</t>
  </si>
  <si>
    <t>Ayu Robillah, S.Pd.</t>
  </si>
  <si>
    <t>4D</t>
  </si>
  <si>
    <t>4D Al Masudi</t>
  </si>
  <si>
    <t>Naja Izza Armia, S.Pd</t>
  </si>
  <si>
    <t>5A</t>
  </si>
  <si>
    <t>5A Al Kindi</t>
  </si>
  <si>
    <t>Tutik Maulida, S.Pd.</t>
  </si>
  <si>
    <t>5B</t>
  </si>
  <si>
    <t>5B Al Razi</t>
  </si>
  <si>
    <t>Syafi' Nur Maulidia, S.Pd</t>
  </si>
  <si>
    <t>5C</t>
  </si>
  <si>
    <t>5C Al Kasyi</t>
  </si>
  <si>
    <t>Candra Arifiana, S.Pd.</t>
  </si>
  <si>
    <t>6A</t>
  </si>
  <si>
    <t>6A Al Biruni</t>
  </si>
  <si>
    <t>Nafi'atul Khasanah, S.Pd.</t>
  </si>
  <si>
    <t>6B</t>
  </si>
  <si>
    <t>6B Al Farazi</t>
  </si>
  <si>
    <t>Muhammad Khairul Anam, S.Pd.</t>
  </si>
  <si>
    <t>6C</t>
  </si>
  <si>
    <t>6C Al Idrisi</t>
  </si>
  <si>
    <t>Resta Rahma Sari, S.Pd.</t>
  </si>
  <si>
    <t>KELAS 1A (Ms Hani)</t>
  </si>
  <si>
    <t>KELAS 1B (Ms Opi)</t>
  </si>
  <si>
    <t>KELAS 1C (Ms Azizah)</t>
  </si>
  <si>
    <t>KELAS 1D (Ms Rina)</t>
  </si>
  <si>
    <t>NO</t>
  </si>
  <si>
    <t>NAMA</t>
  </si>
  <si>
    <t>L/P</t>
  </si>
  <si>
    <t>ASAL SEKOLAH</t>
  </si>
  <si>
    <t>ASAL KELAS</t>
  </si>
  <si>
    <t>Alneisha Belvania Mecca</t>
  </si>
  <si>
    <t>P</t>
  </si>
  <si>
    <t>RAM Gapuro Warungasem</t>
  </si>
  <si>
    <t>Aishwa Nadira Al Afif</t>
  </si>
  <si>
    <t>Paud Terpadu Annisa Pekajangan</t>
  </si>
  <si>
    <t>Afnan Arfabian</t>
  </si>
  <si>
    <t>L</t>
  </si>
  <si>
    <t>TK Islam Nusantara</t>
  </si>
  <si>
    <t xml:space="preserve">Alya Mustafa alatas </t>
  </si>
  <si>
    <t>TK Alam Mahad Islam</t>
  </si>
  <si>
    <t>Arsya Yasa Nendra</t>
  </si>
  <si>
    <t>Ash Shibyan Islamic Preeschool</t>
  </si>
  <si>
    <t>Alinka safira</t>
  </si>
  <si>
    <t>TK Mahad Islam</t>
  </si>
  <si>
    <t>Almeira Zea Mecca</t>
  </si>
  <si>
    <t>RA Masyithoh Gapuro</t>
  </si>
  <si>
    <t>Amira hazna azzahra</t>
  </si>
  <si>
    <t>TK Aisyiyah Bligo 02</t>
  </si>
  <si>
    <t>Arvin Raffasha Rahman</t>
  </si>
  <si>
    <t>PAUD Terpadu Aisyiyah Paesan</t>
  </si>
  <si>
    <t>Ataya Al Qorni</t>
  </si>
  <si>
    <t>TK Islam Al Azhar 63 Pekalongan</t>
  </si>
  <si>
    <t>Almira Shaliha Rosyada</t>
  </si>
  <si>
    <t>Archelaus Barata J.N</t>
  </si>
  <si>
    <t xml:space="preserve">TK Annisa Pekajangan </t>
  </si>
  <si>
    <t>Ellena Zoe Hanabie</t>
  </si>
  <si>
    <t>TKIT Permata Hati Batang</t>
  </si>
  <si>
    <t>Charisa Hamda Sakhia</t>
  </si>
  <si>
    <t>TK Annisa Pekajangan</t>
  </si>
  <si>
    <t>Alvarendra Zayn Musthofa</t>
  </si>
  <si>
    <t>Balqis Azzahra</t>
  </si>
  <si>
    <t>TK Muslimat NU 16 Poncol</t>
  </si>
  <si>
    <t>Ghea Aisha Shaqeela</t>
  </si>
  <si>
    <t>Deswita Danella Arta</t>
  </si>
  <si>
    <t>TK IT Permata Hati Batang</t>
  </si>
  <si>
    <t>Alvito Pradipa Abimanyu</t>
  </si>
  <si>
    <t>TK Al Irsyad Al Islamiyyah Comal</t>
  </si>
  <si>
    <t>Bellvania Cinta Kirana</t>
  </si>
  <si>
    <t>Hijaz Al Ausy Fauzan</t>
  </si>
  <si>
    <t>Rainbow Preschool Setono</t>
  </si>
  <si>
    <t>Hamas Yusuf</t>
  </si>
  <si>
    <t>Amelia Oktavia Azzahra</t>
  </si>
  <si>
    <t>TK Plus Al Burhan</t>
  </si>
  <si>
    <t>Dinda Aisyah Putri</t>
  </si>
  <si>
    <t>TK Al Amin Kalibeluk</t>
  </si>
  <si>
    <t>KIANO HAMAS SYAKIR</t>
  </si>
  <si>
    <t>TK Negeri Pembina</t>
  </si>
  <si>
    <t>Harun Ihsan Basuki</t>
  </si>
  <si>
    <t>Arsyila Shahia Mecca</t>
  </si>
  <si>
    <t>Fatima Zahra</t>
  </si>
  <si>
    <t xml:space="preserve">Cambridge </t>
  </si>
  <si>
    <t>Layla Banafsha Yunus</t>
  </si>
  <si>
    <t>Jasmine Azzahra Zulfikar</t>
  </si>
  <si>
    <t>123 Kids School Blora</t>
  </si>
  <si>
    <t>Ciara Oceana Ramadhani Bahar</t>
  </si>
  <si>
    <t>TK Negeri Pembina Pekalongan</t>
  </si>
  <si>
    <t>Hilya Nahla Ashfiya</t>
  </si>
  <si>
    <t>TK Masyithoh Banyurip Ageng</t>
  </si>
  <si>
    <t>Madeleine Grethania</t>
  </si>
  <si>
    <t>Kawthar Rakid Darayn</t>
  </si>
  <si>
    <t>TK Islam Salafiyah Masjid Wakaf</t>
  </si>
  <si>
    <t>Erfano Arsyanendra</t>
  </si>
  <si>
    <t>TK Telkom Makassar</t>
  </si>
  <si>
    <t>Jazzon Jauza Mikhasy</t>
  </si>
  <si>
    <t>Maher Al Arif</t>
  </si>
  <si>
    <t>TK Puspa Harapan</t>
  </si>
  <si>
    <t>Keenandra Arfa Faizan</t>
  </si>
  <si>
    <t>Kiddos Kedungwuni</t>
  </si>
  <si>
    <t>Fatimah Nuha</t>
  </si>
  <si>
    <t>King Arharga Hidayat</t>
  </si>
  <si>
    <t xml:space="preserve">TK Batik PPIP Pekalongan </t>
  </si>
  <si>
    <t>Muhammad Abyan Razzan Prabowo</t>
  </si>
  <si>
    <t>M. Al Zhafran Baharsyah</t>
  </si>
  <si>
    <t>TK Al Burhan Simbang Kulon</t>
  </si>
  <si>
    <t>Ghaida Leticia Azarine</t>
  </si>
  <si>
    <t>Lamia Kaureen</t>
  </si>
  <si>
    <t>Muhammad Jifan Ramadhan</t>
  </si>
  <si>
    <t>TK Qurrota 'Ayun 01 Aisyiyah</t>
  </si>
  <si>
    <t>Muhamad Aulian Shaquille</t>
  </si>
  <si>
    <t>TK Salima Batang</t>
  </si>
  <si>
    <t>Ippho Santosa</t>
  </si>
  <si>
    <t>M. Usamah Zaviyar Asy-Syarief</t>
  </si>
  <si>
    <t>Muhammad Nufail Athaillah Kenzo</t>
  </si>
  <si>
    <t>Muhammad Daffa Azka Raffasya</t>
  </si>
  <si>
    <t>TKIT Insan Mulia Kajen</t>
  </si>
  <si>
    <t xml:space="preserve">Jihan Kamila Hadid </t>
  </si>
  <si>
    <t>Cambridge International Preschool</t>
  </si>
  <si>
    <t>Marsha Lily Permata Hati</t>
  </si>
  <si>
    <t>Kiddos</t>
  </si>
  <si>
    <t>Muhammad Rassya Adipradana Widagdo</t>
  </si>
  <si>
    <t>TK Mahad Islam Kota Pekalongan</t>
  </si>
  <si>
    <t>Muhammad Daffi Hazet Al-Barks</t>
  </si>
  <si>
    <t>Kazain Alvaronizam Altmaan</t>
  </si>
  <si>
    <t>TKM Nu Gondang</t>
  </si>
  <si>
    <t>Mikhayla Oktaviani</t>
  </si>
  <si>
    <t>Naradda Erabbani Seva</t>
  </si>
  <si>
    <t>Muhammad Elvan Imanura</t>
  </si>
  <si>
    <t>Keisha Alesha Afsheen Malaika</t>
  </si>
  <si>
    <t>M Zhafran Ashwin Ar Razi</t>
  </si>
  <si>
    <t>Kiddos School Pekalongan</t>
  </si>
  <si>
    <t>Nazalita Zahra</t>
  </si>
  <si>
    <t xml:space="preserve">Yaa Bunayya Pekalongan </t>
  </si>
  <si>
    <t xml:space="preserve">Muhammad Rayhan </t>
  </si>
  <si>
    <t>Cambridge</t>
  </si>
  <si>
    <t>Kianuraz ilmi Makinun</t>
  </si>
  <si>
    <t>TK IT Al Fikri</t>
  </si>
  <si>
    <t>Muhammad Arsya Ashari</t>
  </si>
  <si>
    <t>TK Sudirman 1 Pekalongan</t>
  </si>
  <si>
    <t>Okan Azhar Mahardika</t>
  </si>
  <si>
    <t xml:space="preserve">Paud Annisa Pekajangan </t>
  </si>
  <si>
    <t>Nagita Azkayra Safitri</t>
  </si>
  <si>
    <t>Moch Reyhan Pratama</t>
  </si>
  <si>
    <t>TK Ma'had Islam</t>
  </si>
  <si>
    <t>Muhamad Al’asyiq As Syauqi</t>
  </si>
  <si>
    <t>TK Al Burhan</t>
  </si>
  <si>
    <t>Queena Azzalea</t>
  </si>
  <si>
    <t xml:space="preserve">TK RA Muslimat NU Ambokembang </t>
  </si>
  <si>
    <t xml:space="preserve">Narendra Damarjati </t>
  </si>
  <si>
    <t>Muhammad Jordan Abimana</t>
  </si>
  <si>
    <t>Nourazka Alfie Shaquilano</t>
  </si>
  <si>
    <t>Rania Sheza Putri Kharis</t>
  </si>
  <si>
    <t>Nayyara Al Karima</t>
  </si>
  <si>
    <t>Muhammad Revano Alfarizi Hudin</t>
  </si>
  <si>
    <t>Noureen Wahbi Helmy Basjmeleh</t>
  </si>
  <si>
    <t>Reifan Aksa Bachtiar</t>
  </si>
  <si>
    <t>Numa saida Bahiyyah</t>
  </si>
  <si>
    <t>Naqiyah Zahra Baragbah</t>
  </si>
  <si>
    <t>Raga Quinzha Mazafran</t>
  </si>
  <si>
    <t>Revaz Arshad</t>
  </si>
  <si>
    <t>Qonita Althafunnisa</t>
  </si>
  <si>
    <t>Rigel Alvarez Abdylan Dzarda.</t>
  </si>
  <si>
    <t>Paud Terpadu Assalam Sragi</t>
  </si>
  <si>
    <t>Tsaqib Arsya Tarpuji</t>
  </si>
  <si>
    <t>Sabrina Alnafaza Adam</t>
  </si>
  <si>
    <t>Rakshandrina Kaysa Azalea Sarosa</t>
  </si>
  <si>
    <t>TK Muslimat NU Karanganyar</t>
  </si>
  <si>
    <t>Satria Muhammad Syafid</t>
  </si>
  <si>
    <t>Satria Anugrah Falah Akbar</t>
  </si>
  <si>
    <t>TK KEMALA BHAYANGKARI 22 BATANG</t>
  </si>
  <si>
    <t>Salma Az zahra</t>
  </si>
  <si>
    <t>Rania Qotrunnada</t>
  </si>
  <si>
    <t>TK AHFA</t>
  </si>
  <si>
    <t>Sevgi Galena Firdausa</t>
  </si>
  <si>
    <t>Shaquille Bahran Manaf</t>
  </si>
  <si>
    <t>KBIT Permata Hati Batang</t>
  </si>
  <si>
    <t>Shajea Rainatu Jannah</t>
  </si>
  <si>
    <t>Shidqi Ulil Amri</t>
  </si>
  <si>
    <t>Syauqi Akhtar Alfarizi</t>
  </si>
  <si>
    <t>Shofia Halinada</t>
  </si>
  <si>
    <t>Zeline Queensha Az Zahra</t>
  </si>
  <si>
    <t>Laki-laki</t>
  </si>
  <si>
    <t>Perempuan</t>
  </si>
  <si>
    <t>Jumlah</t>
  </si>
  <si>
    <t>KELAS 2A (Ms Citra)</t>
  </si>
  <si>
    <t>KELAS 2B (Ms Ara)</t>
  </si>
  <si>
    <t>KELAS 2C (Ms Dwitry)</t>
  </si>
  <si>
    <t>KELAS 2D (Mr Ilham)</t>
  </si>
  <si>
    <t>Achmad Maliki</t>
  </si>
  <si>
    <t>Abrisam Harith Pradana</t>
  </si>
  <si>
    <t>Adinda Dhatu Nugroho</t>
  </si>
  <si>
    <t>Adskhan Malik Arsyfa</t>
  </si>
  <si>
    <t>Adiba</t>
  </si>
  <si>
    <t>Aico Gyan Dhanesa</t>
  </si>
  <si>
    <t>Ahmad Keenan Athallah Aprilukman</t>
  </si>
  <si>
    <t>Almeera Ashadiya Beibby Osa</t>
  </si>
  <si>
    <t>Alina Ratri Prameswari</t>
  </si>
  <si>
    <t>Alana Hazira Prasada</t>
  </si>
  <si>
    <t>Aleeka Islamadina</t>
  </si>
  <si>
    <t>Arina Aulia Putri</t>
  </si>
  <si>
    <t>Arsyla Humayra Mecca</t>
  </si>
  <si>
    <t>Atta Sabila Barriatul Yumna</t>
  </si>
  <si>
    <t>Alesha Nasywa Syakila</t>
  </si>
  <si>
    <t>Arrumi</t>
  </si>
  <si>
    <t>Bagus Diwangkara</t>
  </si>
  <si>
    <t>Bagus Adi Pratama</t>
  </si>
  <si>
    <t>Almadinah Soemodiharjo</t>
  </si>
  <si>
    <t>Audria Mecca Khairunnisa</t>
  </si>
  <si>
    <t xml:space="preserve">Diza Arsyila Malaika </t>
  </si>
  <si>
    <t>Fadia Mecca Syauqi</t>
  </si>
  <si>
    <t>Altair Kenzo Syauqi</t>
  </si>
  <si>
    <t>Bastha Tsaqif Attaqy</t>
  </si>
  <si>
    <t>Ellena Insyira</t>
  </si>
  <si>
    <t>Febrina Putri Azzahra</t>
  </si>
  <si>
    <t>Arshaq Zehan Ardiaman</t>
  </si>
  <si>
    <t>Hawwa Salsabila Nadhifa</t>
  </si>
  <si>
    <t>Fatimah Nadira</t>
  </si>
  <si>
    <t>Khalisa Azkadina</t>
  </si>
  <si>
    <t>Ayesha Arsyfa Salsabila</t>
  </si>
  <si>
    <t>Iersya Kandaina JS</t>
  </si>
  <si>
    <t>Fiona Eliza Madina</t>
  </si>
  <si>
    <t>Mochammad Eren Razqa Al Manaf</t>
  </si>
  <si>
    <t>Basyar Dzakwan Waradana</t>
  </si>
  <si>
    <t>Louisa Mikhayla Suherman</t>
  </si>
  <si>
    <t>Hafidz Abdullah Raffasya</t>
  </si>
  <si>
    <t>Muhammad Ammar Habibie Wijaya</t>
  </si>
  <si>
    <t>Defian Fahreza Azka Permana</t>
  </si>
  <si>
    <t>M. Aufaa Rijal Masyrur</t>
  </si>
  <si>
    <t>pindahan</t>
  </si>
  <si>
    <t>Jundi Alfarizi Maliq</t>
  </si>
  <si>
    <t>Muhammad Azka Izzafik</t>
  </si>
  <si>
    <t>Elfathan Ammar Wicaksono</t>
  </si>
  <si>
    <t>M. Refat Alcantara</t>
  </si>
  <si>
    <t>Kanaya Dzikra Nazeefah</t>
  </si>
  <si>
    <t>Muhammad Maher Razzan</t>
  </si>
  <si>
    <t>Ganesha Almahyra Sasongko</t>
  </si>
  <si>
    <t>Maryam Kaniya Humaira</t>
  </si>
  <si>
    <t>Kayla Almira Maritza</t>
  </si>
  <si>
    <t>Muhammad Rayhaan Adam</t>
  </si>
  <si>
    <t>Hussein Abqary Ubaidillah</t>
  </si>
  <si>
    <t>Maya Farida Alisha</t>
  </si>
  <si>
    <t>Kenan Ariandra</t>
  </si>
  <si>
    <t>Muhammad Zafran Yusuf</t>
  </si>
  <si>
    <t>Keinarra Syakila Al Mahira</t>
  </si>
  <si>
    <t>Mikhila Azzura Aulia</t>
  </si>
  <si>
    <t>Kikandria Ataletha Revalina Armanto</t>
  </si>
  <si>
    <t>Muhammad Zavier Arkatama</t>
  </si>
  <si>
    <t>Mikayla Nouren Falisha</t>
  </si>
  <si>
    <t>Mishall Almahyra Shaqueena</t>
  </si>
  <si>
    <t>Muhammad Athafariz Shakiel</t>
  </si>
  <si>
    <t>Queena Mikhaela Farizal</t>
  </si>
  <si>
    <t>Muhammad Khalid Arkana</t>
  </si>
  <si>
    <t>Muhammad Athoillah Annadhor</t>
  </si>
  <si>
    <t>Musa Shadiq Alatas</t>
  </si>
  <si>
    <t>Raffasya Maulana Athalla</t>
  </si>
  <si>
    <t>Muhammad Savian Arshaq Bayanaka</t>
  </si>
  <si>
    <t>Muhammad Gian Fernanda</t>
  </si>
  <si>
    <t>Naomi Reinnisa</t>
  </si>
  <si>
    <t>Rumaisha Quinn Mazaya</t>
  </si>
  <si>
    <t>Muhammad Shidqi Az-Zhafran</t>
  </si>
  <si>
    <t>Nuansa Zahrawi Zafran</t>
  </si>
  <si>
    <t>Nazala Rizqillah Arfa</t>
  </si>
  <si>
    <t>Samara Sheva Clarinsyah</t>
  </si>
  <si>
    <t>Nadine farza Almaira</t>
  </si>
  <si>
    <t>Ookean Makka Rue Yusuf</t>
  </si>
  <si>
    <t>Ocean Mayz Prasetya</t>
  </si>
  <si>
    <t>Syakira Ravania Syarifah</t>
  </si>
  <si>
    <t>Rafif Ahnaf Prakosa</t>
  </si>
  <si>
    <t>Rafaeyza Arkhan Tsaqif Setiawan</t>
  </si>
  <si>
    <t>Raissa Zoeya Zaafarani</t>
  </si>
  <si>
    <t>Utari Farrah Rabbani</t>
  </si>
  <si>
    <t>Raisha Sabhira Insha</t>
  </si>
  <si>
    <t>Raisa Maulida Syifa</t>
  </si>
  <si>
    <t>Reynandra Arshaq Syazani</t>
  </si>
  <si>
    <t>Wanda Hanum Malinda</t>
  </si>
  <si>
    <t>Shazfa Zea Almeera</t>
  </si>
  <si>
    <t>Ramaditya Althaf Jaelani</t>
  </si>
  <si>
    <t>Savio Abrisham Cakravartin</t>
  </si>
  <si>
    <t>Zea Kimora Vijayalaksmi</t>
  </si>
  <si>
    <t>Zahra Zianka Putri</t>
  </si>
  <si>
    <t>KELAS 3A (Ms Riris)</t>
  </si>
  <si>
    <t>KELAS 3B (Ms Nana)</t>
  </si>
  <si>
    <t>KELAS 3C (Ms Wilda)</t>
  </si>
  <si>
    <t>KELAS 3D (Mr Syafi)</t>
  </si>
  <si>
    <t>Abyaz Rahka Putra Kharis</t>
  </si>
  <si>
    <t>Ali Madad</t>
  </si>
  <si>
    <t>Adzkira Jennaira Wijayanto</t>
  </si>
  <si>
    <t>Abizar Muhammad Rafasya</t>
  </si>
  <si>
    <t>Afsarul Malik</t>
  </si>
  <si>
    <t>Alula Mahveen Lashira</t>
  </si>
  <si>
    <t>Ahmad Rizqi Alfarezi</t>
  </si>
  <si>
    <t>Adeline Romeesa Almahyra</t>
  </si>
  <si>
    <t>Ahmad Fadhil Hafizhan</t>
  </si>
  <si>
    <t xml:space="preserve">Aqsha Rafka </t>
  </si>
  <si>
    <t>Alesha Afsheen Naumira</t>
  </si>
  <si>
    <t>Akbar Quthbi Al Fatih</t>
  </si>
  <si>
    <t>Aisyah Husein Muhamad Alatas</t>
  </si>
  <si>
    <t>Bamantara Zhafran Abqary Sigit</t>
  </si>
  <si>
    <t>Annisa Hanan Khalisah</t>
  </si>
  <si>
    <t>Ayra Mysha Salsabila Sauala</t>
  </si>
  <si>
    <t>Alexa Shabira El Shanum</t>
  </si>
  <si>
    <t>Chandani Calya Cetta</t>
  </si>
  <si>
    <t>Arzael Keanan</t>
  </si>
  <si>
    <t>Ayya Sovia Abida Nahwarrahmi</t>
  </si>
  <si>
    <t>Almira citra kirana</t>
  </si>
  <si>
    <t>Chayra Romeesa Azalia</t>
  </si>
  <si>
    <t>Ashalina Andara Izzati</t>
  </si>
  <si>
    <t>Caitlyn Alesha Zahra</t>
  </si>
  <si>
    <t>Andita Bathari</t>
  </si>
  <si>
    <t>Dania Fitri Rumaisha</t>
  </si>
  <si>
    <t>Audya Deandra Shaki</t>
  </si>
  <si>
    <t>Dwi Alfarezel Raffasya Adinata</t>
  </si>
  <si>
    <t>Azka Ghaizan Rahman</t>
  </si>
  <si>
    <t>Deandra Aeleasha Putri</t>
  </si>
  <si>
    <t>Caldera Lakeswara</t>
  </si>
  <si>
    <t>Fayyadh</t>
  </si>
  <si>
    <t>Ghaniya Qiana Arfani</t>
  </si>
  <si>
    <t>Faeyza Hanan Kureta</t>
  </si>
  <si>
    <t>Dima Hadya Nitisara</t>
  </si>
  <si>
    <t>Gendhis Hayuning Prameswari</t>
  </si>
  <si>
    <t>M. Adyan Rayyan P</t>
  </si>
  <si>
    <t>Jeihaan Anandita S</t>
  </si>
  <si>
    <t>Fatimah Muhammad</t>
  </si>
  <si>
    <t>Gwen Elvaretta Wanda</t>
  </si>
  <si>
    <t>M. Al Isco Marsitada</t>
  </si>
  <si>
    <t>Karissa Rindu Shankara</t>
  </si>
  <si>
    <t>Jafin Rafisyq Putra</t>
  </si>
  <si>
    <t>Hasna Mumtaza Sholmis</t>
  </si>
  <si>
    <t>M. Aldebaran Syarif R</t>
  </si>
  <si>
    <t>Ligar Bhumi Panuluh</t>
  </si>
  <si>
    <t>Kenzie Faiz Hamizan</t>
  </si>
  <si>
    <t>M. Rafardhan Athif Z</t>
  </si>
  <si>
    <t>M. Danesha Alma Dewa</t>
  </si>
  <si>
    <t>M. Abyan Rasya Abqori</t>
  </si>
  <si>
    <t>Kenzou Alfarizqi Juan Basuki</t>
  </si>
  <si>
    <t>M. Umar Ghani A</t>
  </si>
  <si>
    <t>Malika Al Hurra Arwa</t>
  </si>
  <si>
    <t>Marcella Berliana Adinda</t>
  </si>
  <si>
    <t>Khanza Khumaera Aditya</t>
  </si>
  <si>
    <t>Makaio Anarghya Ananta</t>
  </si>
  <si>
    <t>Manha Shaquena Nayyara</t>
  </si>
  <si>
    <t>Muhamad Arsenio Putra Asrofi</t>
  </si>
  <si>
    <t>Lycoris Jannata Arrahman</t>
  </si>
  <si>
    <t>Muhammad Al Arfan</t>
  </si>
  <si>
    <t xml:space="preserve">PINDAHAN </t>
  </si>
  <si>
    <t>Muhammad Kaivan Narendra Arya Satya</t>
  </si>
  <si>
    <t>Muhammad Aulian Rasyid</t>
  </si>
  <si>
    <t>M. Ghaisan Alvarendra</t>
  </si>
  <si>
    <t>Muhammad Rafanza Fadgham Alfarezel</t>
  </si>
  <si>
    <t>Muhammad Zidane Arifandy</t>
  </si>
  <si>
    <t>Muhammad Zayyan Zulfikar</t>
  </si>
  <si>
    <t>M. Nazril Ar-Rasyiq</t>
  </si>
  <si>
    <t>Nabila Zea Azkayra</t>
  </si>
  <si>
    <t>Radika Denali Arta</t>
  </si>
  <si>
    <t>Nil Kairo Al Qantara Bachtiar</t>
  </si>
  <si>
    <t>Muhammad Gavin Pradana</t>
  </si>
  <si>
    <t>Nandita Alya Zahira</t>
  </si>
  <si>
    <t>Sabiya Nayyara Diaz</t>
  </si>
  <si>
    <t>Refan Arfansyah</t>
  </si>
  <si>
    <t>Muhammad Hafidz Alfarizi Sutrisno</t>
  </si>
  <si>
    <t>Nesya Alfiani Bahar</t>
  </si>
  <si>
    <t>Salman Akbar Maulana</t>
  </si>
  <si>
    <t>Sheza Nayyara Paradisa</t>
  </si>
  <si>
    <t>Muhammad Keenan Atharazka</t>
  </si>
  <si>
    <t>Prabu Artganta Alfatih</t>
  </si>
  <si>
    <t>Salsabila Ramadani</t>
  </si>
  <si>
    <t>Syaima Diinah Azzahra</t>
  </si>
  <si>
    <t>Muhammad Safaraz Arsen Alfahrezeell</t>
  </si>
  <si>
    <t>Putri Almayra</t>
  </si>
  <si>
    <t>Sekar Medina Putri Aprianto</t>
  </si>
  <si>
    <t>Tanaya Sasikirana</t>
  </si>
  <si>
    <t>Muhammad Syafiq Shaquille Ibrahim</t>
  </si>
  <si>
    <t>Rex Arharega Zakuan</t>
  </si>
  <si>
    <t>Senjakala Ranu Gantari</t>
  </si>
  <si>
    <t>Tsaqibah Arsy Tarpuji</t>
  </si>
  <si>
    <t>Nazeeya Qiana</t>
  </si>
  <si>
    <t>Shakilla Hayfa Allaya</t>
  </si>
  <si>
    <t>Zahsy Az-Zahra</t>
  </si>
  <si>
    <t>Shanum Ektiara</t>
  </si>
  <si>
    <t>Uwais Faiq Basmeleh</t>
  </si>
  <si>
    <t>KELAS 4A (Ms Anis)</t>
  </si>
  <si>
    <t>KELAS 4B (Ms Uni)</t>
  </si>
  <si>
    <t>KELAS 4C (Ms Bila)</t>
  </si>
  <si>
    <t>KELAS 4D (Ms Naja)</t>
  </si>
  <si>
    <t>Ahda Syazani Alfarrizqi</t>
  </si>
  <si>
    <t>A Husein Shanaf</t>
  </si>
  <si>
    <t>Adam Hadi</t>
  </si>
  <si>
    <t>Adiva Azkadina Almahyra</t>
  </si>
  <si>
    <t>Alecia Lacita Sachi</t>
  </si>
  <si>
    <t>Ahmad</t>
  </si>
  <si>
    <t>Aimee Dara Gemintang</t>
  </si>
  <si>
    <t>Ahmad Heydar Gibran Aprilukman</t>
  </si>
  <si>
    <t>Alfarizqi Zhafran Musthofa</t>
  </si>
  <si>
    <t>Alethea Eloise Novascotia</t>
  </si>
  <si>
    <t>Aisyah Hanania Adi</t>
  </si>
  <si>
    <t>Ali Zainal Abidin</t>
  </si>
  <si>
    <t>Almahyra Elmas Shanum</t>
  </si>
  <si>
    <t>Alfa Fara Firzanah</t>
  </si>
  <si>
    <t>Aisyah Hanum Azzahra</t>
  </si>
  <si>
    <t>Ananda Bagas Abinaya</t>
  </si>
  <si>
    <t>Almaziya Fatimatuzzahra</t>
  </si>
  <si>
    <t>Anindita Keisya Zahra</t>
  </si>
  <si>
    <t>Amira Aqilah Wibowo</t>
  </si>
  <si>
    <t>Anzar Rayyan Al Azizi</t>
  </si>
  <si>
    <t>Almira Salsabila Nuria Ardani</t>
  </si>
  <si>
    <t>Ar Rayyan Nandana Sailendra</t>
  </si>
  <si>
    <t>Amira Mustafa Alatas</t>
  </si>
  <si>
    <t>Arsya Satria Hamra</t>
  </si>
  <si>
    <t>Ameera</t>
  </si>
  <si>
    <t>Arjuna Bayanaka Widyasukma</t>
  </si>
  <si>
    <t>Arsyila Romeesa Farzana</t>
  </si>
  <si>
    <t>Arsyila Syafa Farzana</t>
  </si>
  <si>
    <t>Angelique Socha Neiwa</t>
  </si>
  <si>
    <t>Arkana Alkhalifi Prasada</t>
  </si>
  <si>
    <t>Athaya Ahnaf Kamil Nugroho</t>
  </si>
  <si>
    <t>Artha Divyanisa Jasmine</t>
  </si>
  <si>
    <t>Aphrodite Brigitha Permadi</t>
  </si>
  <si>
    <t>Asheeqa Dzakwan Makaila</t>
  </si>
  <si>
    <t>Azmya Anarra Valeska</t>
  </si>
  <si>
    <t>Aulya Yasmin Assyifa</t>
  </si>
  <si>
    <t>Arsyila Adreena Sheza</t>
  </si>
  <si>
    <t>Askanah Ghaziyah Mawardi</t>
  </si>
  <si>
    <t>Celine Dion Setyaningrum</t>
  </si>
  <si>
    <t>Danika Saskara Sugiarta</t>
  </si>
  <si>
    <t>Arvino Xavier Faeyza Permana</t>
  </si>
  <si>
    <t>Athallah Muhammad Palal</t>
  </si>
  <si>
    <t>Deeva Chantika Azzahra</t>
  </si>
  <si>
    <t>Elysia Yumna Kamala</t>
  </si>
  <si>
    <t>Bilal Rajit Abdul Zain</t>
  </si>
  <si>
    <t>Ayu Dhyaning Asmara</t>
  </si>
  <si>
    <t>Gilang Cakrawangsa Satriadi</t>
  </si>
  <si>
    <t>Gendis Elsa Kirana</t>
  </si>
  <si>
    <t>Candra Dwi Alfarizqi</t>
  </si>
  <si>
    <t>Dzaky Ammar Surya</t>
  </si>
  <si>
    <t>Irsa Atalla Alfarizky</t>
  </si>
  <si>
    <t>Joza Najma Mecca</t>
  </si>
  <si>
    <t>Dafandra Raka Alfarizi</t>
  </si>
  <si>
    <t>Isnainia Aina Nur Fatimah</t>
  </si>
  <si>
    <t>Keyla Mutiara Dini</t>
  </si>
  <si>
    <t>Kiandra Almahyra Prasetya</t>
  </si>
  <si>
    <t>Gifanny Qyara Viscoalmair</t>
  </si>
  <si>
    <t>Jihan Muhammad Al Faruq</t>
  </si>
  <si>
    <t>Muhammad Althaf Fatih Nurendra</t>
  </si>
  <si>
    <t>Lituhayu Rakhanesia</t>
  </si>
  <si>
    <t>Hanun Safi Azizah</t>
  </si>
  <si>
    <t>Kaelan Kautsara Nanda</t>
  </si>
  <si>
    <t>Muhammad Azka Pradipta</t>
  </si>
  <si>
    <t>M. Keinan Athaya</t>
  </si>
  <si>
    <t>Kamil Musthafa Al Jufrie</t>
  </si>
  <si>
    <t>M. Azka Dhanurendra</t>
  </si>
  <si>
    <t>Muhammad Azka Raffasya</t>
  </si>
  <si>
    <t>Mahes Herjuno Alfris</t>
  </si>
  <si>
    <t>Khanza Aprilia Azzahra</t>
  </si>
  <si>
    <t>M. Kenzo Arrizqi Nahdliyin</t>
  </si>
  <si>
    <t>Muhammad Robert Galbi</t>
  </si>
  <si>
    <t>Muhammad Arsal Al Khuza'i</t>
  </si>
  <si>
    <t>Michello Ibrahim Cakravartin</t>
  </si>
  <si>
    <t>Marsya Aurelya Putri</t>
  </si>
  <si>
    <t>Muhammad Sabiil Azhfar</t>
  </si>
  <si>
    <t>Muhammad Athaya Syafiullah</t>
  </si>
  <si>
    <t>Muhammad Yusuf Al Khalifi</t>
  </si>
  <si>
    <t>Mikhayla Revania Azzahra</t>
  </si>
  <si>
    <t>Naysilla Adelia Putri</t>
  </si>
  <si>
    <t>Narendra Al Faruq Prasetyo</t>
  </si>
  <si>
    <t>Nufay Farhad Basmeleh</t>
  </si>
  <si>
    <t>Naladhipa Veni Adreylan</t>
  </si>
  <si>
    <t>Niar Anindya Prameswari</t>
  </si>
  <si>
    <t>Queentana Islami Hamidah</t>
  </si>
  <si>
    <t>Quisha Ramadhani Rumambie</t>
  </si>
  <si>
    <t>Putri Salamah</t>
  </si>
  <si>
    <t>Reyhan Okita Purnamandalu</t>
  </si>
  <si>
    <t>Ratu Islamadina</t>
  </si>
  <si>
    <t>Samia Zainab</t>
  </si>
  <si>
    <t>Syakira Al Arif</t>
  </si>
  <si>
    <t>Zakir Ali Sakhiy</t>
  </si>
  <si>
    <t>Sabria Keisha Inara</t>
  </si>
  <si>
    <t>Sutan Afnan Athallah</t>
  </si>
  <si>
    <t>Syareefa Yumna Amri</t>
  </si>
  <si>
    <t>Shandrina Alesha Savir</t>
  </si>
  <si>
    <t>KELAS 5A (Ms Tutik)</t>
  </si>
  <si>
    <t>KELAS 5B (Ms Lidia)</t>
  </si>
  <si>
    <t>KELAS 5C (Ms Candra)</t>
  </si>
  <si>
    <t>Abid Dzaky Rajendra</t>
  </si>
  <si>
    <t>4C AL BATTANI</t>
  </si>
  <si>
    <t>ADZKIYA AYA SOPHIA</t>
  </si>
  <si>
    <t>4A AL JAZARI</t>
  </si>
  <si>
    <t>Abdullah yahya</t>
  </si>
  <si>
    <t>4B AL GHAZALI</t>
  </si>
  <si>
    <t>Adawiyya Rajwa Al Romy</t>
  </si>
  <si>
    <t>Adzkiya Naila Ramadhani</t>
  </si>
  <si>
    <t>ALI AKBAR BARAGBAH</t>
  </si>
  <si>
    <t>Adeeva Naura Alfiya</t>
  </si>
  <si>
    <t>Andi Deris Setyawan</t>
  </si>
  <si>
    <t>AMANDA NATHANIA PUTRIGINA</t>
  </si>
  <si>
    <t>Adzkia Safaniya Arsyfa</t>
  </si>
  <si>
    <t>BONDAN HARYOSENO TEGAR</t>
  </si>
  <si>
    <t>Amira safia</t>
  </si>
  <si>
    <t>ARSAKHA AZZAMY ALFARIZI</t>
  </si>
  <si>
    <t>Danish Putra Pratama</t>
  </si>
  <si>
    <t>Arjuna Alfarizqi Jovan Basuki</t>
  </si>
  <si>
    <t>ASHRAF ADITYA RIZKI WIDODO</t>
  </si>
  <si>
    <t>GHOZI NURSALAM LAZIM</t>
  </si>
  <si>
    <t>ARSAKHA RIFQI AL-FAQIH</t>
  </si>
  <si>
    <t>CATTLEYA AZZAHRA FAHMI</t>
  </si>
  <si>
    <t>Hanina Shakila Atha</t>
  </si>
  <si>
    <t>ASSYIFA NAILATUZZAHRA</t>
  </si>
  <si>
    <t>Eila Gendhis Faradhisa</t>
  </si>
  <si>
    <t>Hilwa Yasna Umaiza</t>
  </si>
  <si>
    <t>Fatimah Azzahra</t>
  </si>
  <si>
    <t>Elsaira Ghinatya Harsa</t>
  </si>
  <si>
    <t>JASMINE PRAMESHWARI WICAKSONO</t>
  </si>
  <si>
    <t>Fattan Naoki Muhammad Althaf</t>
  </si>
  <si>
    <t>Fahri Azka Adyatama</t>
  </si>
  <si>
    <t>Karima Nurina Putri Zafya</t>
  </si>
  <si>
    <t>Irfan Maulana Ataqa</t>
  </si>
  <si>
    <t>Fillio Atharizz Kiano Uqael Al Hadid</t>
  </si>
  <si>
    <t>Keiri Athar Azzahri</t>
  </si>
  <si>
    <t>Kelvin Budihartono</t>
  </si>
  <si>
    <t>Ghani Malikal Adam</t>
  </si>
  <si>
    <t>Kevin Aldebaran Hadrian Dzarda</t>
  </si>
  <si>
    <t>KENEESHA SHAN SADIYA</t>
  </si>
  <si>
    <t>GWEN KALLEA ATHA SANJAYA</t>
  </si>
  <si>
    <t>MUHAMAD ADRIAN NUGROHO</t>
  </si>
  <si>
    <t>Kianara Maheswari Ghaniyya</t>
  </si>
  <si>
    <t>Jalu Janaloka Jagadhita</t>
  </si>
  <si>
    <t>Muhammad</t>
  </si>
  <si>
    <t>MUHAMMAD AGHAN AHSAN</t>
  </si>
  <si>
    <t>KANAYA ZARA SHANUM</t>
  </si>
  <si>
    <t>Natasya Kirana Maheswari</t>
  </si>
  <si>
    <t>Namira Khanza Maryam</t>
  </si>
  <si>
    <t>MIKAYLA SHEIKA AL QATARI</t>
  </si>
  <si>
    <t>Nizam Zaky Wirawan</t>
  </si>
  <si>
    <t>Omar Restoe Bhumi</t>
  </si>
  <si>
    <t>Mikhayla Assyifa</t>
  </si>
  <si>
    <t>PRABU MUHAMMAD VEELHAQ ROMEO</t>
  </si>
  <si>
    <t>PRINCE RISE RAJUYA</t>
  </si>
  <si>
    <t>Muhammad Azzam Effendi</t>
  </si>
  <si>
    <t>Rayzdan Muhammad Akhsanabil</t>
  </si>
  <si>
    <t>Rey Evandra Yafie Sugandhi</t>
  </si>
  <si>
    <t>MUHAMMAD FATHAN ARRAYYAN</t>
  </si>
  <si>
    <t>Rizqullah Arkhan Ali</t>
  </si>
  <si>
    <t>Sabrina Sakhi</t>
  </si>
  <si>
    <t>Noufal Virza Rezqiano</t>
  </si>
  <si>
    <t>SAKINAH ALWI BA`AGIL</t>
  </si>
  <si>
    <t>Saufa Adzkia Asrofi</t>
  </si>
  <si>
    <t>Qory Sheeva Alinaputri</t>
  </si>
  <si>
    <t>Verelin Elleanor Balqis</t>
  </si>
  <si>
    <t>Shafana Fatimah Azzahra</t>
  </si>
  <si>
    <t>REYNAND SETIA BUDI</t>
  </si>
  <si>
    <t>Yasmin Syarif Yahya</t>
  </si>
  <si>
    <t>Shazia Sakhi Khaililuna</t>
  </si>
  <si>
    <t>SYALWA NUR AZIZAH</t>
  </si>
  <si>
    <t>ZAINAH ALWI BA`AGIL</t>
  </si>
  <si>
    <t>Vanilla Darayani Qayyim</t>
  </si>
  <si>
    <t>KELAS 6A (Ms Nafi)</t>
  </si>
  <si>
    <t>KELAS 6B (Mr Anam)</t>
  </si>
  <si>
    <t>KELAS 6C (Ms Resta)</t>
  </si>
  <si>
    <t>Adzkia Gauri Prisa Wijayanto</t>
  </si>
  <si>
    <t>Adara Jasmine Arrahman</t>
  </si>
  <si>
    <t>Agung Al Jabbar</t>
  </si>
  <si>
    <t>Alifatul Hana Nur Zahra</t>
  </si>
  <si>
    <t>Adeeva Raras Maheswari</t>
  </si>
  <si>
    <t>Almira Shanum Wicaksono</t>
  </si>
  <si>
    <t>Annisa Azzahra Wibowo</t>
  </si>
  <si>
    <t>Al Zena Bellvania Elora</t>
  </si>
  <si>
    <t>Anendra Nagata Arief Laksono</t>
  </si>
  <si>
    <t>Aqeela Rassya Alfatih</t>
  </si>
  <si>
    <t xml:space="preserve">Ali Zainal Abidin </t>
  </si>
  <si>
    <t>Annisa Ghina Shaqira</t>
  </si>
  <si>
    <t>Arshaka Romadhona</t>
  </si>
  <si>
    <t>Alwi Islami Al Fatih</t>
  </si>
  <si>
    <t>Annisa Zakiya Rafifi</t>
  </si>
  <si>
    <t>Azzalea Qaireen Sutrisno</t>
  </si>
  <si>
    <t>Athalah Ken Mawardi</t>
  </si>
  <si>
    <t>Argadia Khanza Dena</t>
  </si>
  <si>
    <t>Citra Kirani Ghaisani</t>
  </si>
  <si>
    <t>Danesha Aquina Athaya Rahman</t>
  </si>
  <si>
    <t>Azizah Dzakiyah Talita</t>
  </si>
  <si>
    <t>Dania Husin Alaydrous</t>
  </si>
  <si>
    <t>Dara Azalea Nauflin</t>
  </si>
  <si>
    <t>Cantika Bulan Salsabila Nahdliyin</t>
  </si>
  <si>
    <t>Deanisa Arsyfa Athaya</t>
  </si>
  <si>
    <t>Daris Aufa Alkhawarizmi</t>
  </si>
  <si>
    <t>Fania Syaakiraah Jasminee</t>
  </si>
  <si>
    <t>Fatih Fradella Amanullah</t>
  </si>
  <si>
    <t>Faiz Kenzie Hamizan Ramadhan</t>
  </si>
  <si>
    <t>Fattan Ghazir Abyasa</t>
  </si>
  <si>
    <t>Felix Shouta Respati</t>
  </si>
  <si>
    <t>Fazilaysha Rihana Daulay</t>
  </si>
  <si>
    <t>Hideo Abyasa Pambudi</t>
  </si>
  <si>
    <t>Hanif Fatih Basuki</t>
  </si>
  <si>
    <t>Keanu Arsenio Ramadhan</t>
  </si>
  <si>
    <t>Kayla Athaya Prasetya</t>
  </si>
  <si>
    <t>Kayana Aghni Diaz</t>
  </si>
  <si>
    <t>Khanza Alisha</t>
  </si>
  <si>
    <t>Keenan Malikal Adam</t>
  </si>
  <si>
    <t>Keisha Adelia Anindita Rheva</t>
  </si>
  <si>
    <t>Naazneen Iftinan</t>
  </si>
  <si>
    <t>Khanza Arsyila Syarifah</t>
  </si>
  <si>
    <t>Kinara Ghina Khansa</t>
  </si>
  <si>
    <t>Nabihan Erabbani Ramadhan</t>
  </si>
  <si>
    <t>M. Fatih Riziq Syahbana</t>
  </si>
  <si>
    <t>Muhammad Dhabith Al Fatih</t>
  </si>
  <si>
    <t>Nadine Alyssa Azzahra</t>
  </si>
  <si>
    <t>Malika Adeeva Danesha Ndriyo</t>
  </si>
  <si>
    <t>Muhammad Renaldy Budi Kurniawan</t>
  </si>
  <si>
    <t>Nadya Maulida Husna</t>
  </si>
  <si>
    <t>Muhammad Alden AlKhalifi</t>
  </si>
  <si>
    <t>Muhammad Syauqi Rayhan</t>
  </si>
  <si>
    <t>Ozora Ernest Permadi</t>
  </si>
  <si>
    <t>Muhammad Keenan Arkhananta Hermawan</t>
  </si>
  <si>
    <t>Rasyadhan Al Ghifari</t>
  </si>
  <si>
    <t>Pradipta Alfarizqi Nugroho</t>
  </si>
  <si>
    <t>Prabu Narendra Abimanyu</t>
  </si>
  <si>
    <t>Safaraz Anaqi Azizan</t>
  </si>
  <si>
    <t>Raisa Aquina Adillah</t>
  </si>
  <si>
    <t>Shekilla Hana Alfani</t>
  </si>
  <si>
    <t>Shafeea Adjray Lindadatu</t>
  </si>
  <si>
    <t>Safaraz Idlan Hari Suko</t>
  </si>
  <si>
    <t>Sulthan Raziq Elzhafran</t>
  </si>
  <si>
    <t>Zalfa Zahrina Putri</t>
  </si>
  <si>
    <t>Zhafira Malika Yahya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</si>
</sst>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Arial"/>
      <scheme val="minor"/>
    </font>
    <font>
      <b/>
      <sz val="12.0"/>
      <name val="Times New Roman"/>
    </font>
    <font>
      <sz val="12.0"/>
      <name val="Times New Roman"/>
    </font>
    <font>
      <sz val="11.0"/>
      <name val="Arial"/>
    </font>
    <font>
      <sz val="12.0"/>
      <name val="Calibri"/>
    </font>
    <font>
      <b/>
      <sz val="14.0"/>
      <name val="Calibri"/>
    </font>
    <font>
      <b/>
      <sz val="11.0"/>
      <name val="Calibri"/>
    </font>
    <font>
      <sz val="11.0"/>
      <name val="Calibri"/>
    </font>
    <font>
      <sz val="11.0"/>
      <color rgb="FF000000"/>
      <name val="Calibri"/>
    </font>
    <font>
      <b/>
      <sz val="14.0"/>
      <color rgb="FF000000"/>
      <name val="Calibri"/>
    </font>
    <font>
      <b/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1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1" fillId="2" fontId="2" numFmtId="0" xfId="0" applyBorder="1" applyFont="1"/>
    <xf borderId="1" fillId="2" fontId="1" numFmtId="0" xfId="0" applyBorder="1" applyFont="1"/>
    <xf borderId="0" fillId="0" fontId="3" numFmtId="0" xfId="0" applyFont="1"/>
    <xf borderId="1" fillId="3" fontId="2" numFmtId="0" xfId="0" applyAlignment="1" applyBorder="1" applyFill="1" applyFont="1">
      <alignment horizontal="center"/>
    </xf>
    <xf borderId="1" fillId="3" fontId="2" numFmtId="0" xfId="0" applyBorder="1" applyFont="1"/>
    <xf borderId="1" fillId="3" fontId="1" numFmtId="0" xfId="0" applyBorder="1" applyFont="1"/>
    <xf borderId="1" fillId="4" fontId="2" numFmtId="0" xfId="0" applyAlignment="1" applyBorder="1" applyFill="1" applyFont="1">
      <alignment horizontal="center"/>
    </xf>
    <xf borderId="1" fillId="4" fontId="2" numFmtId="0" xfId="0" applyBorder="1" applyFont="1"/>
    <xf borderId="1" fillId="4" fontId="1" numFmtId="0" xfId="0" applyBorder="1" applyFont="1"/>
    <xf borderId="0" fillId="0" fontId="2" numFmtId="0" xfId="0" applyFont="1"/>
    <xf borderId="1" fillId="5" fontId="2" numFmtId="0" xfId="0" applyAlignment="1" applyBorder="1" applyFill="1" applyFont="1">
      <alignment horizontal="center"/>
    </xf>
    <xf borderId="1" fillId="5" fontId="2" numFmtId="0" xfId="0" applyBorder="1" applyFont="1"/>
    <xf borderId="1" fillId="5" fontId="1" numFmtId="0" xfId="0" applyBorder="1" applyFont="1"/>
    <xf borderId="1" fillId="6" fontId="2" numFmtId="0" xfId="0" applyAlignment="1" applyBorder="1" applyFill="1" applyFont="1">
      <alignment horizontal="center"/>
    </xf>
    <xf borderId="1" fillId="6" fontId="2" numFmtId="0" xfId="0" applyBorder="1" applyFont="1"/>
    <xf borderId="1" fillId="6" fontId="1" numFmtId="0" xfId="0" applyBorder="1" applyFont="1"/>
    <xf borderId="1" fillId="7" fontId="2" numFmtId="0" xfId="0" applyAlignment="1" applyBorder="1" applyFill="1" applyFont="1">
      <alignment horizontal="center"/>
    </xf>
    <xf borderId="1" fillId="7" fontId="2" numFmtId="0" xfId="0" applyBorder="1" applyFont="1"/>
    <xf borderId="1" fillId="7" fontId="1" numFmtId="0" xfId="0" applyBorder="1" applyFont="1"/>
    <xf borderId="0" fillId="0" fontId="4" numFmtId="0" xfId="0" applyFont="1"/>
    <xf borderId="0" fillId="0" fontId="5" numFmtId="0" xfId="0" applyFont="1"/>
    <xf borderId="2" fillId="8" fontId="6" numFmtId="0" xfId="0" applyAlignment="1" applyBorder="1" applyFill="1" applyFont="1">
      <alignment horizontal="center"/>
    </xf>
    <xf borderId="2" fillId="0" fontId="6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/>
    </xf>
    <xf borderId="2" fillId="0" fontId="7" numFmtId="0" xfId="0" applyBorder="1" applyFont="1"/>
    <xf borderId="2" fillId="0" fontId="7" numFmtId="0" xfId="0" applyAlignment="1" applyBorder="1" applyFont="1">
      <alignment horizontal="center" shrinkToFit="0" wrapText="1"/>
    </xf>
    <xf borderId="3" fillId="0" fontId="7" numFmtId="0" xfId="0" applyAlignment="1" applyBorder="1" applyFont="1">
      <alignment horizontal="center"/>
    </xf>
    <xf borderId="4" fillId="0" fontId="7" numFmtId="0" xfId="0" applyAlignment="1" applyBorder="1" applyFont="1">
      <alignment horizontal="center"/>
    </xf>
    <xf borderId="3" fillId="0" fontId="7" numFmtId="0" xfId="0" applyBorder="1" applyFont="1"/>
    <xf borderId="5" fillId="0" fontId="7" numFmtId="0" xfId="0" applyAlignment="1" applyBorder="1" applyFont="1">
      <alignment horizontal="center"/>
    </xf>
    <xf borderId="2" fillId="0" fontId="7" numFmtId="0" xfId="0" applyAlignment="1" applyBorder="1" applyFont="1">
      <alignment shrinkToFit="0" wrapText="1"/>
    </xf>
    <xf borderId="0" fillId="0" fontId="7" numFmtId="0" xfId="0" applyFont="1"/>
    <xf borderId="3" fillId="0" fontId="7" numFmtId="0" xfId="0" applyAlignment="1" applyBorder="1" applyFont="1">
      <alignment shrinkToFit="0" wrapText="1"/>
    </xf>
    <xf borderId="6" fillId="0" fontId="7" numFmtId="0" xfId="0" applyAlignment="1" applyBorder="1" applyFont="1">
      <alignment horizontal="center"/>
    </xf>
    <xf borderId="0" fillId="0" fontId="6" numFmtId="0" xfId="0" applyFont="1"/>
    <xf borderId="2" fillId="0" fontId="7" numFmtId="0" xfId="0" applyAlignment="1" applyBorder="1" applyFont="1">
      <alignment horizontal="center" vertical="center"/>
    </xf>
    <xf borderId="7" fillId="0" fontId="7" numFmtId="0" xfId="0" applyBorder="1" applyFont="1"/>
    <xf borderId="4" fillId="0" fontId="7" numFmtId="0" xfId="0" applyBorder="1" applyFont="1"/>
    <xf borderId="2" fillId="0" fontId="4" numFmtId="0" xfId="0" applyBorder="1" applyFont="1"/>
    <xf borderId="8" fillId="0" fontId="7" numFmtId="0" xfId="0" applyAlignment="1" applyBorder="1" applyFont="1">
      <alignment horizontal="center"/>
    </xf>
    <xf borderId="9" fillId="0" fontId="7" numFmtId="0" xfId="0" applyBorder="1" applyFont="1"/>
    <xf borderId="10" fillId="0" fontId="7" numFmtId="0" xfId="0" applyAlignment="1" applyBorder="1" applyFont="1">
      <alignment horizontal="center"/>
    </xf>
    <xf borderId="9" fillId="0" fontId="7" numFmtId="0" xfId="0" applyAlignment="1" applyBorder="1" applyFont="1">
      <alignment horizontal="center"/>
    </xf>
    <xf borderId="2" fillId="0" fontId="8" numFmtId="0" xfId="0" applyBorder="1" applyFont="1"/>
    <xf borderId="3" fillId="0" fontId="4" numFmtId="0" xfId="0" applyBorder="1" applyFont="1"/>
    <xf borderId="2" fillId="0" fontId="8" numFmtId="0" xfId="0" applyAlignment="1" applyBorder="1" applyFont="1">
      <alignment horizontal="center"/>
    </xf>
    <xf borderId="4" fillId="0" fontId="8" numFmtId="0" xfId="0" applyAlignment="1" applyBorder="1" applyFont="1">
      <alignment horizontal="center"/>
    </xf>
    <xf borderId="0" fillId="0" fontId="8" numFmtId="0" xfId="0" applyFont="1"/>
    <xf borderId="11" fillId="0" fontId="8" numFmtId="0" xfId="0" applyBorder="1" applyFont="1"/>
    <xf borderId="5" fillId="0" fontId="8" numFmtId="0" xfId="0" applyBorder="1" applyFont="1"/>
    <xf borderId="2" fillId="0" fontId="8" numFmtId="0" xfId="0" applyAlignment="1" applyBorder="1" applyFont="1">
      <alignment horizontal="left"/>
    </xf>
    <xf borderId="5" fillId="0" fontId="8" numFmtId="0" xfId="0" applyAlignment="1" applyBorder="1" applyFont="1">
      <alignment horizontal="center"/>
    </xf>
    <xf borderId="0" fillId="0" fontId="6" numFmtId="0" xfId="0" applyAlignment="1" applyFont="1">
      <alignment horizontal="center" vertical="center"/>
    </xf>
    <xf borderId="0" fillId="0" fontId="8" numFmtId="0" xfId="0" applyAlignment="1" applyFont="1">
      <alignment horizontal="center"/>
    </xf>
    <xf borderId="0" fillId="0" fontId="9" numFmtId="0" xfId="0" applyFont="1"/>
    <xf borderId="0" fillId="0" fontId="9" numFmtId="0" xfId="0" applyAlignment="1" applyFont="1">
      <alignment horizontal="center"/>
    </xf>
    <xf borderId="2" fillId="0" fontId="10" numFmtId="0" xfId="0" applyAlignment="1" applyBorder="1" applyFont="1">
      <alignment horizontal="center"/>
    </xf>
    <xf borderId="11" fillId="0" fontId="8" numFmtId="0" xfId="0" applyAlignment="1" applyBorder="1" applyFont="1">
      <alignment horizontal="center"/>
    </xf>
    <xf borderId="12" fillId="0" fontId="8" numFmtId="0" xfId="0" applyBorder="1" applyFont="1"/>
    <xf borderId="0" fillId="0" fontId="7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2.14"/>
    <col customWidth="1" hidden="1" min="3" max="3" width="31.86"/>
    <col customWidth="1" min="4" max="6" width="14.43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/>
      <c r="F2" s="1"/>
    </row>
    <row r="3">
      <c r="A3" s="2" t="s">
        <v>4</v>
      </c>
      <c r="B3" s="3" t="s">
        <v>5</v>
      </c>
      <c r="C3" s="4" t="s">
        <v>6</v>
      </c>
      <c r="D3" s="5">
        <v>24.0</v>
      </c>
    </row>
    <row r="4">
      <c r="A4" s="2" t="s">
        <v>7</v>
      </c>
      <c r="B4" s="3" t="s">
        <v>8</v>
      </c>
      <c r="C4" s="3" t="s">
        <v>9</v>
      </c>
      <c r="D4" s="5">
        <v>24.0</v>
      </c>
    </row>
    <row r="5">
      <c r="A5" s="2" t="s">
        <v>10</v>
      </c>
      <c r="B5" s="3" t="s">
        <v>11</v>
      </c>
      <c r="C5" s="3" t="s">
        <v>12</v>
      </c>
      <c r="D5" s="5">
        <v>25.0</v>
      </c>
    </row>
    <row r="6">
      <c r="A6" s="2" t="s">
        <v>13</v>
      </c>
      <c r="B6" s="3" t="s">
        <v>14</v>
      </c>
      <c r="C6" s="3" t="s">
        <v>15</v>
      </c>
      <c r="D6" s="5">
        <v>24.0</v>
      </c>
    </row>
    <row r="7">
      <c r="A7" s="6" t="s">
        <v>16</v>
      </c>
      <c r="B7" s="7" t="s">
        <v>17</v>
      </c>
      <c r="C7" s="8" t="s">
        <v>18</v>
      </c>
      <c r="D7" s="5">
        <v>23.0</v>
      </c>
    </row>
    <row r="8">
      <c r="A8" s="6" t="s">
        <v>19</v>
      </c>
      <c r="B8" s="7" t="s">
        <v>20</v>
      </c>
      <c r="C8" s="7" t="s">
        <v>21</v>
      </c>
      <c r="D8" s="5">
        <v>22.0</v>
      </c>
    </row>
    <row r="9">
      <c r="A9" s="6" t="s">
        <v>22</v>
      </c>
      <c r="B9" s="7" t="s">
        <v>23</v>
      </c>
      <c r="C9" s="7" t="s">
        <v>24</v>
      </c>
      <c r="D9" s="5">
        <v>23.0</v>
      </c>
    </row>
    <row r="10">
      <c r="A10" s="6" t="s">
        <v>25</v>
      </c>
      <c r="B10" s="7" t="s">
        <v>26</v>
      </c>
      <c r="C10" s="7" t="s">
        <v>27</v>
      </c>
      <c r="D10" s="5">
        <v>23.0</v>
      </c>
    </row>
    <row r="11">
      <c r="A11" s="9" t="s">
        <v>28</v>
      </c>
      <c r="B11" s="10" t="s">
        <v>29</v>
      </c>
      <c r="C11" s="11" t="s">
        <v>30</v>
      </c>
      <c r="D11" s="12">
        <v>24.0</v>
      </c>
    </row>
    <row r="12">
      <c r="A12" s="9" t="s">
        <v>31</v>
      </c>
      <c r="B12" s="10" t="s">
        <v>32</v>
      </c>
      <c r="C12" s="10" t="s">
        <v>33</v>
      </c>
      <c r="D12" s="12">
        <v>23.0</v>
      </c>
    </row>
    <row r="13">
      <c r="A13" s="9" t="s">
        <v>34</v>
      </c>
      <c r="B13" s="10" t="s">
        <v>35</v>
      </c>
      <c r="C13" s="10" t="s">
        <v>36</v>
      </c>
      <c r="D13" s="12">
        <v>24.0</v>
      </c>
    </row>
    <row r="14">
      <c r="A14" s="9" t="s">
        <v>37</v>
      </c>
      <c r="B14" s="10" t="s">
        <v>38</v>
      </c>
      <c r="C14" s="10" t="s">
        <v>39</v>
      </c>
      <c r="D14" s="12">
        <v>24.0</v>
      </c>
    </row>
    <row r="15">
      <c r="A15" s="13" t="s">
        <v>40</v>
      </c>
      <c r="B15" s="14" t="s">
        <v>41</v>
      </c>
      <c r="C15" s="14" t="s">
        <v>42</v>
      </c>
      <c r="D15" s="12">
        <v>24.0</v>
      </c>
    </row>
    <row r="16">
      <c r="A16" s="13" t="s">
        <v>43</v>
      </c>
      <c r="B16" s="14" t="s">
        <v>44</v>
      </c>
      <c r="C16" s="15" t="s">
        <v>45</v>
      </c>
      <c r="D16" s="12">
        <v>24.0</v>
      </c>
    </row>
    <row r="17">
      <c r="A17" s="13" t="s">
        <v>46</v>
      </c>
      <c r="B17" s="14" t="s">
        <v>47</v>
      </c>
      <c r="C17" s="14" t="s">
        <v>48</v>
      </c>
      <c r="D17" s="12">
        <v>23.0</v>
      </c>
    </row>
    <row r="18">
      <c r="A18" s="13" t="s">
        <v>49</v>
      </c>
      <c r="B18" s="14" t="s">
        <v>50</v>
      </c>
      <c r="C18" s="14" t="s">
        <v>51</v>
      </c>
      <c r="D18" s="12">
        <v>24.0</v>
      </c>
    </row>
    <row r="19">
      <c r="A19" s="16" t="s">
        <v>52</v>
      </c>
      <c r="B19" s="17" t="s">
        <v>53</v>
      </c>
      <c r="C19" s="17" t="s">
        <v>54</v>
      </c>
      <c r="D19" s="12">
        <v>23.0</v>
      </c>
    </row>
    <row r="20">
      <c r="A20" s="16" t="s">
        <v>55</v>
      </c>
      <c r="B20" s="17" t="s">
        <v>56</v>
      </c>
      <c r="C20" s="17" t="s">
        <v>57</v>
      </c>
      <c r="D20" s="12">
        <v>23.0</v>
      </c>
    </row>
    <row r="21" ht="15.75" customHeight="1">
      <c r="A21" s="16" t="s">
        <v>58</v>
      </c>
      <c r="B21" s="17" t="s">
        <v>59</v>
      </c>
      <c r="C21" s="18" t="s">
        <v>60</v>
      </c>
      <c r="D21" s="12">
        <v>23.0</v>
      </c>
    </row>
    <row r="22" ht="15.75" customHeight="1">
      <c r="A22" s="19" t="s">
        <v>61</v>
      </c>
      <c r="B22" s="20" t="s">
        <v>62</v>
      </c>
      <c r="C22" s="21" t="s">
        <v>63</v>
      </c>
      <c r="D22" s="12">
        <v>22.0</v>
      </c>
    </row>
    <row r="23" ht="15.75" customHeight="1">
      <c r="A23" s="19" t="s">
        <v>64</v>
      </c>
      <c r="B23" s="20" t="s">
        <v>65</v>
      </c>
      <c r="C23" s="20" t="s">
        <v>66</v>
      </c>
      <c r="D23" s="12">
        <v>22.0</v>
      </c>
    </row>
    <row r="24" ht="15.75" customHeight="1">
      <c r="A24" s="19" t="s">
        <v>67</v>
      </c>
      <c r="B24" s="20" t="s">
        <v>68</v>
      </c>
      <c r="C24" s="20" t="s">
        <v>69</v>
      </c>
      <c r="D24" s="12">
        <v>21.0</v>
      </c>
    </row>
    <row r="25" ht="15.75" customHeight="1">
      <c r="D25" s="22" t="str">
        <f>SUM(D3:D24)</f>
        <v>512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29.71"/>
    <col customWidth="1" min="3" max="3" width="8.71"/>
    <col customWidth="1" min="4" max="4" width="37.57"/>
    <col customWidth="1" min="5" max="7" width="8.71"/>
    <col customWidth="1" min="8" max="8" width="28.43"/>
    <col customWidth="1" min="9" max="9" width="8.71"/>
    <col customWidth="1" min="10" max="10" width="35.14"/>
    <col customWidth="1" min="11" max="13" width="8.71"/>
    <col customWidth="1" min="14" max="14" width="33.86"/>
    <col customWidth="1" min="15" max="15" width="8.71"/>
    <col customWidth="1" min="16" max="16" width="37.0"/>
    <col customWidth="1" min="17" max="19" width="8.71"/>
    <col customWidth="1" min="20" max="20" width="34.43"/>
    <col customWidth="1" min="21" max="21" width="8.71"/>
    <col customWidth="1" min="22" max="22" width="33.57"/>
    <col customWidth="1" min="23" max="26" width="8.71"/>
  </cols>
  <sheetData>
    <row r="2">
      <c r="A2" s="23" t="s">
        <v>70</v>
      </c>
      <c r="B2" s="23"/>
      <c r="C2" s="23"/>
      <c r="D2" s="23"/>
      <c r="E2" s="23"/>
      <c r="F2" s="23"/>
      <c r="G2" s="23" t="s">
        <v>71</v>
      </c>
      <c r="H2" s="23"/>
      <c r="I2" s="23"/>
      <c r="J2" s="23"/>
      <c r="K2" s="23"/>
      <c r="L2" s="23"/>
      <c r="M2" s="23" t="s">
        <v>72</v>
      </c>
      <c r="N2" s="23"/>
      <c r="O2" s="23"/>
      <c r="P2" s="23"/>
      <c r="Q2" s="23"/>
      <c r="R2" s="23"/>
      <c r="S2" s="23" t="s">
        <v>73</v>
      </c>
      <c r="T2" s="23"/>
      <c r="U2" s="23"/>
      <c r="V2" s="23"/>
      <c r="W2" s="23"/>
      <c r="X2" s="23"/>
      <c r="Y2" s="23"/>
      <c r="Z2" s="23"/>
    </row>
    <row r="4">
      <c r="A4" s="24" t="s">
        <v>74</v>
      </c>
      <c r="B4" s="24" t="s">
        <v>75</v>
      </c>
      <c r="C4" s="24" t="s">
        <v>76</v>
      </c>
      <c r="D4" s="24" t="s">
        <v>77</v>
      </c>
      <c r="G4" s="25" t="s">
        <v>74</v>
      </c>
      <c r="H4" s="25" t="s">
        <v>75</v>
      </c>
      <c r="I4" s="25" t="s">
        <v>76</v>
      </c>
      <c r="J4" s="25" t="s">
        <v>78</v>
      </c>
      <c r="M4" s="25" t="s">
        <v>74</v>
      </c>
      <c r="N4" s="25" t="s">
        <v>75</v>
      </c>
      <c r="O4" s="25" t="s">
        <v>76</v>
      </c>
      <c r="P4" s="25" t="s">
        <v>78</v>
      </c>
      <c r="S4" s="25" t="s">
        <v>74</v>
      </c>
      <c r="T4" s="25" t="s">
        <v>75</v>
      </c>
      <c r="U4" s="25" t="s">
        <v>76</v>
      </c>
      <c r="V4" s="25" t="s">
        <v>78</v>
      </c>
    </row>
    <row r="5" ht="15.75" customHeight="1">
      <c r="A5" s="26">
        <v>1.0</v>
      </c>
      <c r="B5" s="27" t="s">
        <v>79</v>
      </c>
      <c r="C5" s="26" t="s">
        <v>80</v>
      </c>
      <c r="D5" s="26" t="s">
        <v>81</v>
      </c>
      <c r="G5" s="26">
        <v>1.0</v>
      </c>
      <c r="H5" s="27" t="s">
        <v>82</v>
      </c>
      <c r="I5" s="26" t="s">
        <v>80</v>
      </c>
      <c r="J5" s="26" t="s">
        <v>83</v>
      </c>
      <c r="M5" s="26">
        <v>1.0</v>
      </c>
      <c r="N5" s="27" t="s">
        <v>84</v>
      </c>
      <c r="O5" s="26" t="s">
        <v>85</v>
      </c>
      <c r="P5" s="26" t="s">
        <v>86</v>
      </c>
      <c r="S5" s="28">
        <v>1.0</v>
      </c>
      <c r="T5" s="27" t="s">
        <v>87</v>
      </c>
      <c r="U5" s="26" t="s">
        <v>80</v>
      </c>
      <c r="V5" s="26" t="s">
        <v>88</v>
      </c>
    </row>
    <row r="6">
      <c r="A6" s="26">
        <v>2.0</v>
      </c>
      <c r="B6" s="27" t="s">
        <v>89</v>
      </c>
      <c r="C6" s="26" t="s">
        <v>85</v>
      </c>
      <c r="D6" s="26" t="s">
        <v>90</v>
      </c>
      <c r="G6" s="26">
        <v>2.0</v>
      </c>
      <c r="H6" s="27" t="s">
        <v>91</v>
      </c>
      <c r="I6" s="26" t="s">
        <v>80</v>
      </c>
      <c r="J6" s="26" t="s">
        <v>92</v>
      </c>
      <c r="M6" s="26">
        <v>2.0</v>
      </c>
      <c r="N6" s="27" t="s">
        <v>93</v>
      </c>
      <c r="O6" s="26" t="s">
        <v>80</v>
      </c>
      <c r="P6" s="26" t="s">
        <v>94</v>
      </c>
      <c r="S6" s="28">
        <v>2.0</v>
      </c>
      <c r="T6" s="27" t="s">
        <v>95</v>
      </c>
      <c r="U6" s="26" t="s">
        <v>80</v>
      </c>
      <c r="V6" s="26" t="s">
        <v>96</v>
      </c>
    </row>
    <row r="7">
      <c r="A7" s="26">
        <v>3.0</v>
      </c>
      <c r="B7" s="27" t="s">
        <v>97</v>
      </c>
      <c r="C7" s="26" t="s">
        <v>85</v>
      </c>
      <c r="D7" s="26" t="s">
        <v>98</v>
      </c>
      <c r="G7" s="26">
        <v>3.0</v>
      </c>
      <c r="H7" s="27" t="s">
        <v>99</v>
      </c>
      <c r="I7" s="26" t="s">
        <v>85</v>
      </c>
      <c r="J7" s="26" t="s">
        <v>100</v>
      </c>
      <c r="M7" s="26">
        <v>3.0</v>
      </c>
      <c r="N7" s="27" t="s">
        <v>101</v>
      </c>
      <c r="O7" s="26" t="s">
        <v>80</v>
      </c>
      <c r="P7" s="26" t="s">
        <v>100</v>
      </c>
      <c r="S7" s="28">
        <v>3.0</v>
      </c>
      <c r="T7" s="27" t="s">
        <v>102</v>
      </c>
      <c r="U7" s="28" t="s">
        <v>85</v>
      </c>
      <c r="V7" s="26" t="s">
        <v>103</v>
      </c>
    </row>
    <row r="8">
      <c r="A8" s="26">
        <v>4.0</v>
      </c>
      <c r="B8" s="27" t="s">
        <v>104</v>
      </c>
      <c r="C8" s="26" t="s">
        <v>80</v>
      </c>
      <c r="D8" s="26" t="s">
        <v>105</v>
      </c>
      <c r="G8" s="26">
        <v>4.0</v>
      </c>
      <c r="H8" s="27" t="s">
        <v>106</v>
      </c>
      <c r="I8" s="26" t="s">
        <v>80</v>
      </c>
      <c r="J8" s="26" t="s">
        <v>107</v>
      </c>
      <c r="M8" s="26">
        <v>4.0</v>
      </c>
      <c r="N8" s="27" t="s">
        <v>108</v>
      </c>
      <c r="O8" s="26" t="s">
        <v>85</v>
      </c>
      <c r="P8" s="26" t="s">
        <v>103</v>
      </c>
      <c r="S8" s="28">
        <v>4.0</v>
      </c>
      <c r="T8" s="27" t="s">
        <v>109</v>
      </c>
      <c r="U8" s="26" t="s">
        <v>80</v>
      </c>
      <c r="V8" s="26" t="s">
        <v>110</v>
      </c>
    </row>
    <row r="9">
      <c r="A9" s="26">
        <v>5.0</v>
      </c>
      <c r="B9" s="27" t="s">
        <v>111</v>
      </c>
      <c r="C9" s="26" t="s">
        <v>80</v>
      </c>
      <c r="D9" s="26" t="s">
        <v>103</v>
      </c>
      <c r="G9" s="26">
        <v>5.0</v>
      </c>
      <c r="H9" s="27" t="s">
        <v>112</v>
      </c>
      <c r="I9" s="26" t="s">
        <v>80</v>
      </c>
      <c r="J9" s="26" t="s">
        <v>113</v>
      </c>
      <c r="M9" s="26">
        <v>5.0</v>
      </c>
      <c r="N9" s="27" t="s">
        <v>114</v>
      </c>
      <c r="O9" s="26" t="s">
        <v>85</v>
      </c>
      <c r="P9" s="26" t="s">
        <v>115</v>
      </c>
      <c r="S9" s="28">
        <v>5.0</v>
      </c>
      <c r="T9" s="27" t="s">
        <v>116</v>
      </c>
      <c r="U9" s="28" t="s">
        <v>80</v>
      </c>
      <c r="V9" s="27"/>
    </row>
    <row r="10">
      <c r="A10" s="26">
        <v>6.0</v>
      </c>
      <c r="B10" s="27" t="s">
        <v>117</v>
      </c>
      <c r="C10" s="26" t="s">
        <v>85</v>
      </c>
      <c r="D10" s="26" t="s">
        <v>118</v>
      </c>
      <c r="G10" s="26">
        <v>6.0</v>
      </c>
      <c r="H10" s="27" t="s">
        <v>119</v>
      </c>
      <c r="I10" s="26" t="s">
        <v>85</v>
      </c>
      <c r="J10" s="26" t="s">
        <v>107</v>
      </c>
      <c r="M10" s="26">
        <v>6.0</v>
      </c>
      <c r="N10" s="27" t="s">
        <v>120</v>
      </c>
      <c r="O10" s="26" t="s">
        <v>80</v>
      </c>
      <c r="P10" s="26" t="s">
        <v>121</v>
      </c>
      <c r="S10" s="28">
        <v>6.0</v>
      </c>
      <c r="T10" s="27" t="s">
        <v>122</v>
      </c>
      <c r="U10" s="26" t="s">
        <v>80</v>
      </c>
      <c r="V10" s="26" t="s">
        <v>123</v>
      </c>
    </row>
    <row r="11">
      <c r="A11" s="26">
        <v>7.0</v>
      </c>
      <c r="B11" s="27" t="s">
        <v>124</v>
      </c>
      <c r="C11" s="26" t="s">
        <v>85</v>
      </c>
      <c r="D11" s="26" t="s">
        <v>125</v>
      </c>
      <c r="G11" s="26">
        <v>7.0</v>
      </c>
      <c r="H11" s="27" t="s">
        <v>126</v>
      </c>
      <c r="I11" s="26" t="s">
        <v>85</v>
      </c>
      <c r="J11" s="26" t="s">
        <v>100</v>
      </c>
      <c r="M11" s="26">
        <v>7.0</v>
      </c>
      <c r="N11" s="27" t="s">
        <v>127</v>
      </c>
      <c r="O11" s="26" t="s">
        <v>80</v>
      </c>
      <c r="P11" s="26" t="s">
        <v>121</v>
      </c>
      <c r="S11" s="28">
        <v>7.0</v>
      </c>
      <c r="T11" s="27" t="s">
        <v>128</v>
      </c>
      <c r="U11" s="26" t="s">
        <v>80</v>
      </c>
      <c r="V11" s="26" t="s">
        <v>129</v>
      </c>
    </row>
    <row r="12">
      <c r="A12" s="26">
        <v>8.0</v>
      </c>
      <c r="B12" s="27" t="s">
        <v>130</v>
      </c>
      <c r="C12" s="26" t="s">
        <v>80</v>
      </c>
      <c r="D12" s="26" t="s">
        <v>100</v>
      </c>
      <c r="G12" s="26">
        <v>8.0</v>
      </c>
      <c r="H12" s="27" t="s">
        <v>131</v>
      </c>
      <c r="I12" s="26" t="s">
        <v>80</v>
      </c>
      <c r="J12" s="29" t="s">
        <v>132</v>
      </c>
      <c r="M12" s="26">
        <v>8.0</v>
      </c>
      <c r="N12" s="27" t="s">
        <v>133</v>
      </c>
      <c r="O12" s="26" t="s">
        <v>80</v>
      </c>
      <c r="P12" s="30" t="s">
        <v>134</v>
      </c>
      <c r="S12" s="28">
        <v>8.0</v>
      </c>
      <c r="T12" s="27" t="s">
        <v>135</v>
      </c>
      <c r="U12" s="26" t="s">
        <v>80</v>
      </c>
      <c r="V12" s="29" t="s">
        <v>136</v>
      </c>
    </row>
    <row r="13">
      <c r="A13" s="26">
        <v>9.0</v>
      </c>
      <c r="B13" s="27" t="s">
        <v>137</v>
      </c>
      <c r="C13" s="26" t="s">
        <v>80</v>
      </c>
      <c r="D13" s="29" t="s">
        <v>105</v>
      </c>
      <c r="G13" s="26">
        <v>9.0</v>
      </c>
      <c r="H13" s="27" t="s">
        <v>138</v>
      </c>
      <c r="I13" s="26" t="s">
        <v>85</v>
      </c>
      <c r="J13" s="29" t="s">
        <v>139</v>
      </c>
      <c r="M13" s="26">
        <v>9.0</v>
      </c>
      <c r="N13" s="31" t="s">
        <v>140</v>
      </c>
      <c r="O13" s="26" t="s">
        <v>85</v>
      </c>
      <c r="P13" s="32" t="s">
        <v>141</v>
      </c>
      <c r="S13" s="28">
        <v>9.0</v>
      </c>
      <c r="T13" s="33" t="s">
        <v>142</v>
      </c>
      <c r="U13" s="28" t="s">
        <v>85</v>
      </c>
      <c r="V13" s="29" t="s">
        <v>100</v>
      </c>
    </row>
    <row r="14">
      <c r="A14" s="26">
        <v>10.0</v>
      </c>
      <c r="B14" s="27" t="s">
        <v>143</v>
      </c>
      <c r="C14" s="26" t="s">
        <v>85</v>
      </c>
      <c r="D14" s="29" t="s">
        <v>144</v>
      </c>
      <c r="G14" s="26">
        <v>10.0</v>
      </c>
      <c r="H14" s="27" t="s">
        <v>145</v>
      </c>
      <c r="I14" s="26" t="s">
        <v>85</v>
      </c>
      <c r="J14" s="29" t="s">
        <v>146</v>
      </c>
      <c r="M14" s="26">
        <v>10.0</v>
      </c>
      <c r="N14" s="27" t="s">
        <v>147</v>
      </c>
      <c r="O14" s="26" t="s">
        <v>80</v>
      </c>
      <c r="P14" s="29" t="s">
        <v>92</v>
      </c>
      <c r="S14" s="28">
        <v>10.0</v>
      </c>
      <c r="T14" s="27" t="s">
        <v>148</v>
      </c>
      <c r="U14" s="26" t="s">
        <v>85</v>
      </c>
      <c r="V14" s="29" t="s">
        <v>149</v>
      </c>
    </row>
    <row r="15">
      <c r="A15" s="26">
        <v>11.0</v>
      </c>
      <c r="B15" s="27" t="s">
        <v>150</v>
      </c>
      <c r="C15" s="26" t="s">
        <v>85</v>
      </c>
      <c r="D15" s="29" t="s">
        <v>100</v>
      </c>
      <c r="G15" s="26">
        <v>11.0</v>
      </c>
      <c r="H15" s="27" t="s">
        <v>151</v>
      </c>
      <c r="I15" s="26" t="s">
        <v>85</v>
      </c>
      <c r="J15" s="29" t="s">
        <v>152</v>
      </c>
      <c r="M15" s="26">
        <v>11.0</v>
      </c>
      <c r="N15" s="27" t="s">
        <v>153</v>
      </c>
      <c r="O15" s="26" t="s">
        <v>80</v>
      </c>
      <c r="P15" s="29" t="s">
        <v>100</v>
      </c>
      <c r="S15" s="28">
        <v>11.0</v>
      </c>
      <c r="T15" s="33" t="s">
        <v>154</v>
      </c>
      <c r="U15" s="28" t="s">
        <v>80</v>
      </c>
      <c r="V15" s="29" t="s">
        <v>100</v>
      </c>
    </row>
    <row r="16">
      <c r="A16" s="26">
        <v>12.0</v>
      </c>
      <c r="B16" s="27" t="s">
        <v>155</v>
      </c>
      <c r="C16" s="26" t="s">
        <v>85</v>
      </c>
      <c r="D16" s="29" t="s">
        <v>156</v>
      </c>
      <c r="G16" s="26">
        <v>12.0</v>
      </c>
      <c r="H16" s="27" t="s">
        <v>157</v>
      </c>
      <c r="I16" s="26" t="s">
        <v>85</v>
      </c>
      <c r="J16" s="29" t="s">
        <v>158</v>
      </c>
      <c r="M16" s="26">
        <v>12.0</v>
      </c>
      <c r="N16" s="27" t="s">
        <v>159</v>
      </c>
      <c r="O16" s="26" t="s">
        <v>85</v>
      </c>
      <c r="P16" s="29" t="s">
        <v>100</v>
      </c>
      <c r="S16" s="28">
        <v>12.0</v>
      </c>
      <c r="T16" s="27" t="s">
        <v>160</v>
      </c>
      <c r="U16" s="28" t="s">
        <v>85</v>
      </c>
      <c r="V16" s="29" t="s">
        <v>139</v>
      </c>
    </row>
    <row r="17">
      <c r="A17" s="26">
        <v>13.0</v>
      </c>
      <c r="B17" s="27" t="s">
        <v>161</v>
      </c>
      <c r="C17" s="26" t="s">
        <v>85</v>
      </c>
      <c r="D17" s="29" t="s">
        <v>100</v>
      </c>
      <c r="G17" s="26">
        <v>13.0</v>
      </c>
      <c r="H17" s="27" t="s">
        <v>162</v>
      </c>
      <c r="I17" s="26" t="s">
        <v>85</v>
      </c>
      <c r="J17" s="29" t="s">
        <v>163</v>
      </c>
      <c r="M17" s="26">
        <v>13.0</v>
      </c>
      <c r="N17" s="27" t="s">
        <v>164</v>
      </c>
      <c r="O17" s="26" t="s">
        <v>80</v>
      </c>
      <c r="P17" s="29" t="s">
        <v>165</v>
      </c>
      <c r="S17" s="28">
        <v>13.0</v>
      </c>
      <c r="T17" s="27" t="s">
        <v>166</v>
      </c>
      <c r="U17" s="26" t="s">
        <v>80</v>
      </c>
      <c r="V17" s="29" t="s">
        <v>167</v>
      </c>
    </row>
    <row r="18">
      <c r="A18" s="26">
        <v>14.0</v>
      </c>
      <c r="B18" s="27" t="s">
        <v>168</v>
      </c>
      <c r="C18" s="28" t="s">
        <v>85</v>
      </c>
      <c r="D18" s="29" t="s">
        <v>169</v>
      </c>
      <c r="G18" s="26">
        <v>14.0</v>
      </c>
      <c r="H18" s="27" t="s">
        <v>170</v>
      </c>
      <c r="I18" s="26" t="s">
        <v>85</v>
      </c>
      <c r="J18" s="29" t="s">
        <v>167</v>
      </c>
      <c r="M18" s="26">
        <v>14.0</v>
      </c>
      <c r="N18" s="27" t="s">
        <v>171</v>
      </c>
      <c r="O18" s="26" t="s">
        <v>85</v>
      </c>
      <c r="P18" s="29" t="s">
        <v>172</v>
      </c>
      <c r="S18" s="28">
        <v>14.0</v>
      </c>
      <c r="T18" s="33" t="s">
        <v>173</v>
      </c>
      <c r="U18" s="28" t="s">
        <v>80</v>
      </c>
      <c r="V18" s="31"/>
    </row>
    <row r="19">
      <c r="A19" s="26">
        <v>15.0</v>
      </c>
      <c r="B19" s="27" t="s">
        <v>174</v>
      </c>
      <c r="C19" s="26" t="s">
        <v>85</v>
      </c>
      <c r="D19" s="29" t="s">
        <v>100</v>
      </c>
      <c r="G19" s="26">
        <v>15.0</v>
      </c>
      <c r="H19" s="27" t="s">
        <v>175</v>
      </c>
      <c r="I19" s="28" t="s">
        <v>85</v>
      </c>
      <c r="J19" s="29" t="s">
        <v>105</v>
      </c>
      <c r="M19" s="26">
        <v>15.0</v>
      </c>
      <c r="N19" s="27" t="s">
        <v>176</v>
      </c>
      <c r="O19" s="26" t="s">
        <v>80</v>
      </c>
      <c r="P19" s="29" t="s">
        <v>100</v>
      </c>
      <c r="S19" s="28">
        <v>15.0</v>
      </c>
      <c r="T19" s="27" t="s">
        <v>177</v>
      </c>
      <c r="U19" s="26" t="s">
        <v>85</v>
      </c>
      <c r="V19" s="29" t="s">
        <v>178</v>
      </c>
    </row>
    <row r="20">
      <c r="A20" s="26">
        <v>16.0</v>
      </c>
      <c r="B20" s="27" t="s">
        <v>179</v>
      </c>
      <c r="C20" s="26" t="s">
        <v>80</v>
      </c>
      <c r="D20" s="29" t="s">
        <v>180</v>
      </c>
      <c r="G20" s="26">
        <v>16.0</v>
      </c>
      <c r="H20" s="27" t="s">
        <v>181</v>
      </c>
      <c r="I20" s="28" t="s">
        <v>85</v>
      </c>
      <c r="J20" s="29" t="s">
        <v>182</v>
      </c>
      <c r="M20" s="26">
        <v>16.0</v>
      </c>
      <c r="N20" s="27" t="s">
        <v>183</v>
      </c>
      <c r="O20" s="26" t="s">
        <v>85</v>
      </c>
      <c r="P20" s="29" t="s">
        <v>184</v>
      </c>
      <c r="S20" s="28">
        <v>16.0</v>
      </c>
      <c r="T20" s="27" t="s">
        <v>185</v>
      </c>
      <c r="U20" s="28" t="s">
        <v>85</v>
      </c>
      <c r="V20" s="26" t="s">
        <v>186</v>
      </c>
    </row>
    <row r="21" ht="15.75" customHeight="1">
      <c r="A21" s="26">
        <v>17.0</v>
      </c>
      <c r="B21" s="27" t="s">
        <v>187</v>
      </c>
      <c r="C21" s="26" t="s">
        <v>85</v>
      </c>
      <c r="D21" s="29" t="s">
        <v>188</v>
      </c>
      <c r="E21" s="34"/>
      <c r="F21" s="34"/>
      <c r="G21" s="26">
        <v>17.0</v>
      </c>
      <c r="H21" s="27" t="s">
        <v>189</v>
      </c>
      <c r="I21" s="26" t="s">
        <v>80</v>
      </c>
      <c r="J21" s="29" t="s">
        <v>100</v>
      </c>
      <c r="K21" s="34"/>
      <c r="L21" s="34"/>
      <c r="M21" s="26">
        <v>17.0</v>
      </c>
      <c r="N21" s="27" t="s">
        <v>190</v>
      </c>
      <c r="O21" s="26" t="s">
        <v>85</v>
      </c>
      <c r="P21" s="29" t="s">
        <v>191</v>
      </c>
      <c r="S21" s="28">
        <v>17.0</v>
      </c>
      <c r="T21" s="27" t="s">
        <v>192</v>
      </c>
      <c r="U21" s="28" t="s">
        <v>85</v>
      </c>
      <c r="V21" s="29" t="s">
        <v>193</v>
      </c>
    </row>
    <row r="22" ht="15.75" customHeight="1">
      <c r="A22" s="26">
        <v>18.0</v>
      </c>
      <c r="B22" s="27" t="s">
        <v>194</v>
      </c>
      <c r="C22" s="26" t="s">
        <v>80</v>
      </c>
      <c r="D22" s="29" t="s">
        <v>195</v>
      </c>
      <c r="E22" s="34"/>
      <c r="F22" s="34"/>
      <c r="G22" s="26">
        <v>18.0</v>
      </c>
      <c r="H22" s="27" t="s">
        <v>196</v>
      </c>
      <c r="I22" s="26" t="s">
        <v>85</v>
      </c>
      <c r="J22" s="29" t="s">
        <v>100</v>
      </c>
      <c r="K22" s="34"/>
      <c r="L22" s="34"/>
      <c r="M22" s="26">
        <v>18.0</v>
      </c>
      <c r="N22" s="27" t="s">
        <v>197</v>
      </c>
      <c r="O22" s="26" t="s">
        <v>85</v>
      </c>
      <c r="P22" s="29" t="s">
        <v>100</v>
      </c>
      <c r="S22" s="28">
        <v>18.0</v>
      </c>
      <c r="T22" s="33" t="s">
        <v>198</v>
      </c>
      <c r="U22" s="28" t="s">
        <v>85</v>
      </c>
      <c r="V22" s="29" t="s">
        <v>100</v>
      </c>
    </row>
    <row r="23" ht="15.75" customHeight="1">
      <c r="A23" s="26">
        <v>19.0</v>
      </c>
      <c r="B23" s="27" t="s">
        <v>199</v>
      </c>
      <c r="C23" s="26" t="s">
        <v>80</v>
      </c>
      <c r="D23" s="29" t="s">
        <v>100</v>
      </c>
      <c r="E23" s="34"/>
      <c r="F23" s="34"/>
      <c r="G23" s="26">
        <v>19.0</v>
      </c>
      <c r="H23" s="27" t="s">
        <v>200</v>
      </c>
      <c r="I23" s="26" t="s">
        <v>80</v>
      </c>
      <c r="J23" s="29" t="s">
        <v>100</v>
      </c>
      <c r="K23" s="34"/>
      <c r="L23" s="34"/>
      <c r="M23" s="26">
        <v>19.0</v>
      </c>
      <c r="N23" s="27" t="s">
        <v>201</v>
      </c>
      <c r="O23" s="26" t="s">
        <v>85</v>
      </c>
      <c r="P23" s="29" t="s">
        <v>100</v>
      </c>
      <c r="S23" s="28">
        <v>19.0</v>
      </c>
      <c r="T23" s="33" t="s">
        <v>202</v>
      </c>
      <c r="U23" s="28" t="s">
        <v>80</v>
      </c>
      <c r="V23" s="29" t="s">
        <v>100</v>
      </c>
    </row>
    <row r="24" ht="15.75" customHeight="1">
      <c r="A24" s="26">
        <v>20.0</v>
      </c>
      <c r="B24" s="27" t="s">
        <v>203</v>
      </c>
      <c r="C24" s="26" t="s">
        <v>85</v>
      </c>
      <c r="D24" s="29" t="s">
        <v>92</v>
      </c>
      <c r="E24" s="34"/>
      <c r="F24" s="34"/>
      <c r="G24" s="26">
        <v>20.0</v>
      </c>
      <c r="H24" s="27" t="s">
        <v>204</v>
      </c>
      <c r="I24" s="26" t="s">
        <v>80</v>
      </c>
      <c r="J24" s="29" t="s">
        <v>100</v>
      </c>
      <c r="K24" s="34"/>
      <c r="L24" s="34"/>
      <c r="M24" s="26">
        <v>20.0</v>
      </c>
      <c r="N24" s="27" t="s">
        <v>205</v>
      </c>
      <c r="O24" s="26" t="s">
        <v>80</v>
      </c>
      <c r="P24" s="29" t="s">
        <v>92</v>
      </c>
      <c r="S24" s="28">
        <v>20.0</v>
      </c>
      <c r="T24" s="33" t="s">
        <v>206</v>
      </c>
      <c r="U24" s="28" t="s">
        <v>85</v>
      </c>
      <c r="V24" s="29" t="s">
        <v>100</v>
      </c>
    </row>
    <row r="25" ht="15.75" customHeight="1">
      <c r="A25" s="26">
        <v>21.0</v>
      </c>
      <c r="B25" s="33" t="s">
        <v>207</v>
      </c>
      <c r="C25" s="28" t="s">
        <v>85</v>
      </c>
      <c r="D25" s="29" t="s">
        <v>100</v>
      </c>
      <c r="E25" s="34"/>
      <c r="F25" s="34"/>
      <c r="G25" s="26">
        <v>21.0</v>
      </c>
      <c r="H25" s="27" t="s">
        <v>208</v>
      </c>
      <c r="I25" s="26" t="s">
        <v>80</v>
      </c>
      <c r="J25" s="29" t="s">
        <v>113</v>
      </c>
      <c r="K25" s="34"/>
      <c r="L25" s="34"/>
      <c r="M25" s="26">
        <v>21.0</v>
      </c>
      <c r="N25" s="27" t="s">
        <v>209</v>
      </c>
      <c r="O25" s="26" t="s">
        <v>85</v>
      </c>
      <c r="P25" s="29" t="s">
        <v>210</v>
      </c>
      <c r="S25" s="28">
        <v>21.0</v>
      </c>
      <c r="T25" s="27" t="s">
        <v>211</v>
      </c>
      <c r="U25" s="28" t="s">
        <v>85</v>
      </c>
      <c r="V25" s="29" t="s">
        <v>100</v>
      </c>
    </row>
    <row r="26" ht="15.75" customHeight="1">
      <c r="A26" s="26">
        <v>22.0</v>
      </c>
      <c r="B26" s="27" t="s">
        <v>212</v>
      </c>
      <c r="C26" s="26" t="s">
        <v>80</v>
      </c>
      <c r="D26" s="29" t="s">
        <v>165</v>
      </c>
      <c r="E26" s="34"/>
      <c r="F26" s="34"/>
      <c r="G26" s="26">
        <v>22.0</v>
      </c>
      <c r="H26" s="27" t="s">
        <v>213</v>
      </c>
      <c r="I26" s="26" t="s">
        <v>80</v>
      </c>
      <c r="J26" s="29" t="s">
        <v>214</v>
      </c>
      <c r="K26" s="34"/>
      <c r="L26" s="34"/>
      <c r="M26" s="26">
        <v>22.0</v>
      </c>
      <c r="N26" s="27" t="s">
        <v>215</v>
      </c>
      <c r="O26" s="26" t="s">
        <v>85</v>
      </c>
      <c r="P26" s="29" t="s">
        <v>167</v>
      </c>
      <c r="S26" s="28">
        <v>22.0</v>
      </c>
      <c r="T26" s="27" t="s">
        <v>216</v>
      </c>
      <c r="U26" s="28" t="s">
        <v>85</v>
      </c>
      <c r="V26" s="29" t="s">
        <v>217</v>
      </c>
    </row>
    <row r="27" ht="15.75" customHeight="1">
      <c r="A27" s="26">
        <v>23.0</v>
      </c>
      <c r="B27" s="27" t="s">
        <v>218</v>
      </c>
      <c r="C27" s="26" t="s">
        <v>80</v>
      </c>
      <c r="D27" s="29" t="s">
        <v>100</v>
      </c>
      <c r="E27" s="34"/>
      <c r="F27" s="34"/>
      <c r="G27" s="26">
        <v>23.0</v>
      </c>
      <c r="H27" s="33" t="s">
        <v>219</v>
      </c>
      <c r="I27" s="26" t="s">
        <v>80</v>
      </c>
      <c r="J27" s="29" t="s">
        <v>220</v>
      </c>
      <c r="K27" s="34"/>
      <c r="L27" s="34"/>
      <c r="M27" s="26">
        <v>23.0</v>
      </c>
      <c r="N27" s="33" t="s">
        <v>221</v>
      </c>
      <c r="O27" s="26" t="s">
        <v>80</v>
      </c>
      <c r="P27" s="29" t="s">
        <v>105</v>
      </c>
      <c r="S27" s="28">
        <v>23.0</v>
      </c>
      <c r="T27" s="27" t="s">
        <v>222</v>
      </c>
      <c r="U27" s="28" t="s">
        <v>85</v>
      </c>
      <c r="V27" s="29" t="s">
        <v>223</v>
      </c>
    </row>
    <row r="28" ht="15.75" customHeight="1">
      <c r="A28" s="26">
        <v>24.0</v>
      </c>
      <c r="B28" s="27" t="s">
        <v>224</v>
      </c>
      <c r="C28" s="26" t="s">
        <v>80</v>
      </c>
      <c r="D28" s="29" t="s">
        <v>100</v>
      </c>
      <c r="E28" s="34"/>
      <c r="F28" s="34"/>
      <c r="G28" s="26">
        <v>24.0</v>
      </c>
      <c r="H28" s="27" t="s">
        <v>225</v>
      </c>
      <c r="I28" s="26" t="s">
        <v>85</v>
      </c>
      <c r="J28" s="29" t="s">
        <v>100</v>
      </c>
      <c r="K28" s="34"/>
      <c r="L28" s="34"/>
      <c r="M28" s="26">
        <v>24.0</v>
      </c>
      <c r="N28" s="27" t="s">
        <v>226</v>
      </c>
      <c r="O28" s="26" t="s">
        <v>85</v>
      </c>
      <c r="P28" s="29" t="s">
        <v>210</v>
      </c>
      <c r="S28" s="28">
        <v>24.0</v>
      </c>
      <c r="T28" s="35" t="s">
        <v>227</v>
      </c>
      <c r="U28" s="28" t="s">
        <v>80</v>
      </c>
      <c r="V28" s="26" t="s">
        <v>100</v>
      </c>
    </row>
    <row r="29" ht="15.75" customHeight="1">
      <c r="A29" s="36">
        <v>25.0</v>
      </c>
      <c r="B29" s="27"/>
      <c r="C29" s="27"/>
      <c r="D29" s="27"/>
      <c r="E29" s="34"/>
      <c r="F29" s="34"/>
      <c r="G29" s="26">
        <v>25.0</v>
      </c>
      <c r="H29" s="27"/>
      <c r="I29" s="27"/>
      <c r="J29" s="31"/>
      <c r="K29" s="34"/>
      <c r="L29" s="34"/>
      <c r="M29" s="26">
        <v>25.0</v>
      </c>
      <c r="N29" s="27" t="s">
        <v>228</v>
      </c>
      <c r="O29" s="26" t="s">
        <v>80</v>
      </c>
      <c r="P29" s="29" t="s">
        <v>100</v>
      </c>
      <c r="S29" s="28">
        <v>25.0</v>
      </c>
      <c r="T29" s="27"/>
      <c r="U29" s="27"/>
      <c r="V29" s="31"/>
    </row>
    <row r="30" ht="15.7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T30" s="34"/>
      <c r="U30" s="34"/>
    </row>
    <row r="31" ht="15.75" customHeight="1">
      <c r="A31" s="34"/>
      <c r="B31" s="37" t="s">
        <v>229</v>
      </c>
      <c r="C31" s="37" t="str">
        <f>COUNTIF(C5:C29,"L")</f>
        <v>13</v>
      </c>
      <c r="D31" s="34"/>
      <c r="E31" s="34"/>
      <c r="F31" s="34"/>
      <c r="G31" s="34"/>
      <c r="H31" s="37" t="s">
        <v>229</v>
      </c>
      <c r="I31" s="37" t="str">
        <f>COUNTIF(I5:I29,"L")</f>
        <v>13</v>
      </c>
      <c r="J31" s="34"/>
      <c r="K31" s="34"/>
      <c r="L31" s="34"/>
      <c r="M31" s="34"/>
      <c r="N31" s="37" t="s">
        <v>229</v>
      </c>
      <c r="O31" s="37" t="str">
        <f>COUNTIF(O5:O29,"L")</f>
        <v>13</v>
      </c>
      <c r="P31" s="34"/>
      <c r="T31" s="37" t="s">
        <v>229</v>
      </c>
      <c r="U31" s="37" t="str">
        <f>COUNTIF(U5:U29,"L")</f>
        <v>12</v>
      </c>
    </row>
    <row r="32" ht="15.75" customHeight="1">
      <c r="A32" s="34"/>
      <c r="B32" s="37" t="s">
        <v>230</v>
      </c>
      <c r="C32" s="37" t="str">
        <f>COUNTIF(C5:C29,"P")</f>
        <v>11</v>
      </c>
      <c r="D32" s="34"/>
      <c r="E32" s="34"/>
      <c r="F32" s="34"/>
      <c r="G32" s="34"/>
      <c r="H32" s="37" t="s">
        <v>230</v>
      </c>
      <c r="I32" s="37" t="str">
        <f>COUNTIF(I5:I29,"P")</f>
        <v>11</v>
      </c>
      <c r="J32" s="34"/>
      <c r="K32" s="34"/>
      <c r="L32" s="34"/>
      <c r="M32" s="34"/>
      <c r="N32" s="37" t="s">
        <v>230</v>
      </c>
      <c r="O32" s="37" t="str">
        <f>COUNTIF(O5:O29,"P")</f>
        <v>12</v>
      </c>
      <c r="P32" s="34"/>
      <c r="T32" s="37" t="s">
        <v>230</v>
      </c>
      <c r="U32" s="37" t="str">
        <f>COUNTIF(U5:U29,"P")</f>
        <v>12</v>
      </c>
    </row>
    <row r="33" ht="15.75" customHeight="1">
      <c r="B33" s="37" t="s">
        <v>231</v>
      </c>
      <c r="C33" s="37" t="str">
        <f>SUM(C31:C32)</f>
        <v>24</v>
      </c>
      <c r="H33" s="37" t="s">
        <v>231</v>
      </c>
      <c r="I33" s="37" t="str">
        <f>SUM(I31:I32)</f>
        <v>24</v>
      </c>
      <c r="N33" s="37" t="s">
        <v>231</v>
      </c>
      <c r="O33" s="37" t="str">
        <f>SUM(O31:O32)</f>
        <v>25</v>
      </c>
      <c r="T33" s="37" t="s">
        <v>231</v>
      </c>
      <c r="U33" s="37" t="str">
        <f>SUM(U31:U32)</f>
        <v>24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29.71"/>
    <col customWidth="1" min="3" max="3" width="8.71"/>
    <col customWidth="1" min="4" max="4" width="18.0"/>
    <col customWidth="1" min="5" max="7" width="8.71"/>
    <col customWidth="1" min="8" max="8" width="28.43"/>
    <col customWidth="1" min="9" max="9" width="8.71"/>
    <col customWidth="1" min="10" max="10" width="18.86"/>
    <col customWidth="1" min="11" max="13" width="8.71"/>
    <col customWidth="1" min="14" max="14" width="33.86"/>
    <col customWidth="1" min="15" max="15" width="8.71"/>
    <col customWidth="1" min="16" max="16" width="15.43"/>
    <col customWidth="1" min="17" max="19" width="8.71"/>
    <col customWidth="1" min="20" max="20" width="34.43"/>
    <col customWidth="1" min="21" max="21" width="8.71"/>
    <col customWidth="1" min="22" max="22" width="17.43"/>
    <col customWidth="1" min="23" max="26" width="8.71"/>
  </cols>
  <sheetData>
    <row r="2">
      <c r="A2" s="23" t="s">
        <v>232</v>
      </c>
      <c r="B2" s="23"/>
      <c r="C2" s="23"/>
      <c r="D2" s="23"/>
      <c r="E2" s="23"/>
      <c r="F2" s="23"/>
      <c r="G2" s="23" t="s">
        <v>233</v>
      </c>
      <c r="H2" s="23"/>
      <c r="I2" s="23"/>
      <c r="J2" s="23"/>
      <c r="K2" s="23"/>
      <c r="L2" s="23"/>
      <c r="M2" s="23" t="s">
        <v>234</v>
      </c>
      <c r="N2" s="23"/>
      <c r="O2" s="23"/>
      <c r="P2" s="23"/>
      <c r="Q2" s="23"/>
      <c r="R2" s="23"/>
      <c r="S2" s="23" t="s">
        <v>235</v>
      </c>
      <c r="T2" s="23"/>
      <c r="U2" s="23"/>
      <c r="V2" s="23"/>
      <c r="W2" s="23"/>
      <c r="X2" s="23"/>
      <c r="Y2" s="23"/>
      <c r="Z2" s="23"/>
    </row>
    <row r="4">
      <c r="A4" s="25" t="s">
        <v>74</v>
      </c>
      <c r="B4" s="25" t="s">
        <v>75</v>
      </c>
      <c r="C4" s="25" t="s">
        <v>76</v>
      </c>
      <c r="D4" s="25" t="s">
        <v>78</v>
      </c>
      <c r="G4" s="25" t="s">
        <v>74</v>
      </c>
      <c r="H4" s="25" t="s">
        <v>75</v>
      </c>
      <c r="I4" s="25" t="s">
        <v>76</v>
      </c>
      <c r="J4" s="25" t="s">
        <v>78</v>
      </c>
      <c r="M4" s="25" t="s">
        <v>74</v>
      </c>
      <c r="N4" s="25" t="s">
        <v>75</v>
      </c>
      <c r="O4" s="25" t="s">
        <v>76</v>
      </c>
      <c r="P4" s="25" t="s">
        <v>78</v>
      </c>
      <c r="S4" s="25" t="s">
        <v>74</v>
      </c>
      <c r="T4" s="25" t="s">
        <v>75</v>
      </c>
      <c r="U4" s="25" t="s">
        <v>76</v>
      </c>
      <c r="V4" s="25" t="s">
        <v>78</v>
      </c>
    </row>
    <row r="5" ht="15.75" customHeight="1">
      <c r="A5" s="38">
        <v>1.0</v>
      </c>
      <c r="B5" s="27" t="s">
        <v>236</v>
      </c>
      <c r="C5" s="26" t="s">
        <v>85</v>
      </c>
      <c r="D5" s="26" t="s">
        <v>7</v>
      </c>
      <c r="E5" s="34"/>
      <c r="F5" s="34"/>
      <c r="G5" s="26">
        <v>1.0</v>
      </c>
      <c r="H5" s="27" t="s">
        <v>237</v>
      </c>
      <c r="I5" s="26" t="s">
        <v>85</v>
      </c>
      <c r="J5" s="26" t="s">
        <v>4</v>
      </c>
      <c r="K5" s="34"/>
      <c r="L5" s="34"/>
      <c r="M5" s="38">
        <v>1.0</v>
      </c>
      <c r="N5" s="27" t="s">
        <v>238</v>
      </c>
      <c r="O5" s="26" t="s">
        <v>80</v>
      </c>
      <c r="P5" s="26" t="s">
        <v>7</v>
      </c>
      <c r="Q5" s="34"/>
      <c r="R5" s="34"/>
      <c r="S5" s="26">
        <v>1.0</v>
      </c>
      <c r="T5" s="27" t="s">
        <v>239</v>
      </c>
      <c r="U5" s="26" t="s">
        <v>85</v>
      </c>
      <c r="V5" s="26" t="s">
        <v>7</v>
      </c>
    </row>
    <row r="6">
      <c r="A6" s="38">
        <v>2.0</v>
      </c>
      <c r="B6" s="27" t="s">
        <v>240</v>
      </c>
      <c r="C6" s="26" t="s">
        <v>80</v>
      </c>
      <c r="D6" s="26" t="s">
        <v>13</v>
      </c>
      <c r="E6" s="34"/>
      <c r="F6" s="34"/>
      <c r="G6" s="26">
        <v>2.0</v>
      </c>
      <c r="H6" s="27" t="s">
        <v>241</v>
      </c>
      <c r="I6" s="26" t="s">
        <v>80</v>
      </c>
      <c r="J6" s="26" t="s">
        <v>13</v>
      </c>
      <c r="K6" s="34"/>
      <c r="L6" s="34"/>
      <c r="M6" s="38">
        <v>2.0</v>
      </c>
      <c r="N6" s="27" t="s">
        <v>242</v>
      </c>
      <c r="O6" s="26" t="s">
        <v>85</v>
      </c>
      <c r="P6" s="26" t="s">
        <v>7</v>
      </c>
      <c r="Q6" s="34"/>
      <c r="R6" s="34"/>
      <c r="S6" s="26">
        <v>2.0</v>
      </c>
      <c r="T6" s="27" t="s">
        <v>243</v>
      </c>
      <c r="U6" s="26" t="s">
        <v>80</v>
      </c>
      <c r="V6" s="26" t="s">
        <v>13</v>
      </c>
    </row>
    <row r="7">
      <c r="A7" s="38">
        <v>3.0</v>
      </c>
      <c r="B7" s="27" t="s">
        <v>244</v>
      </c>
      <c r="C7" s="28" t="s">
        <v>80</v>
      </c>
      <c r="D7" s="26" t="s">
        <v>4</v>
      </c>
      <c r="E7" s="34"/>
      <c r="F7" s="34"/>
      <c r="G7" s="26">
        <v>3.0</v>
      </c>
      <c r="H7" s="27" t="s">
        <v>245</v>
      </c>
      <c r="I7" s="26" t="s">
        <v>80</v>
      </c>
      <c r="J7" s="26" t="s">
        <v>10</v>
      </c>
      <c r="K7" s="34"/>
      <c r="L7" s="34"/>
      <c r="M7" s="38">
        <v>3.0</v>
      </c>
      <c r="N7" s="27" t="s">
        <v>246</v>
      </c>
      <c r="O7" s="26" t="s">
        <v>80</v>
      </c>
      <c r="P7" s="26" t="s">
        <v>13</v>
      </c>
      <c r="Q7" s="34"/>
      <c r="R7" s="34"/>
      <c r="S7" s="26">
        <v>3.0</v>
      </c>
      <c r="T7" s="27" t="s">
        <v>247</v>
      </c>
      <c r="U7" s="26" t="s">
        <v>80</v>
      </c>
      <c r="V7" s="26" t="s">
        <v>13</v>
      </c>
    </row>
    <row r="8">
      <c r="A8" s="38">
        <v>4.0</v>
      </c>
      <c r="B8" s="27" t="s">
        <v>248</v>
      </c>
      <c r="C8" s="26" t="s">
        <v>80</v>
      </c>
      <c r="D8" s="26" t="s">
        <v>4</v>
      </c>
      <c r="E8" s="34"/>
      <c r="F8" s="34"/>
      <c r="G8" s="26">
        <v>4.0</v>
      </c>
      <c r="H8" s="27" t="s">
        <v>249</v>
      </c>
      <c r="I8" s="26" t="s">
        <v>80</v>
      </c>
      <c r="J8" s="26" t="s">
        <v>4</v>
      </c>
      <c r="K8" s="34"/>
      <c r="L8" s="34"/>
      <c r="M8" s="38">
        <v>4.0</v>
      </c>
      <c r="N8" s="27" t="s">
        <v>250</v>
      </c>
      <c r="O8" s="26" t="s">
        <v>80</v>
      </c>
      <c r="P8" s="26" t="s">
        <v>7</v>
      </c>
      <c r="Q8" s="34"/>
      <c r="R8" s="34"/>
      <c r="S8" s="26">
        <v>4.0</v>
      </c>
      <c r="T8" s="27" t="s">
        <v>251</v>
      </c>
      <c r="U8" s="26" t="s">
        <v>80</v>
      </c>
      <c r="V8" s="26" t="s">
        <v>7</v>
      </c>
    </row>
    <row r="9">
      <c r="A9" s="38">
        <v>5.0</v>
      </c>
      <c r="B9" s="27" t="s">
        <v>252</v>
      </c>
      <c r="C9" s="26" t="s">
        <v>85</v>
      </c>
      <c r="D9" s="26" t="s">
        <v>4</v>
      </c>
      <c r="E9" s="34"/>
      <c r="F9" s="34"/>
      <c r="G9" s="26">
        <v>5.0</v>
      </c>
      <c r="H9" s="27" t="s">
        <v>253</v>
      </c>
      <c r="I9" s="26" t="s">
        <v>85</v>
      </c>
      <c r="J9" s="26" t="s">
        <v>13</v>
      </c>
      <c r="K9" s="34"/>
      <c r="L9" s="34"/>
      <c r="M9" s="38">
        <v>5.0</v>
      </c>
      <c r="N9" s="27" t="s">
        <v>254</v>
      </c>
      <c r="O9" s="26" t="s">
        <v>80</v>
      </c>
      <c r="P9" s="26" t="s">
        <v>7</v>
      </c>
      <c r="Q9" s="34"/>
      <c r="R9" s="34"/>
      <c r="S9" s="26">
        <v>5.0</v>
      </c>
      <c r="T9" s="27" t="s">
        <v>255</v>
      </c>
      <c r="U9" s="26" t="s">
        <v>80</v>
      </c>
      <c r="V9" s="26" t="s">
        <v>13</v>
      </c>
    </row>
    <row r="10">
      <c r="A10" s="38">
        <v>6.0</v>
      </c>
      <c r="B10" s="27" t="s">
        <v>256</v>
      </c>
      <c r="C10" s="26" t="s">
        <v>80</v>
      </c>
      <c r="D10" s="26" t="s">
        <v>4</v>
      </c>
      <c r="E10" s="34"/>
      <c r="F10" s="34"/>
      <c r="G10" s="26">
        <v>6.0</v>
      </c>
      <c r="H10" s="27" t="s">
        <v>257</v>
      </c>
      <c r="I10" s="26" t="s">
        <v>80</v>
      </c>
      <c r="J10" s="26" t="s">
        <v>13</v>
      </c>
      <c r="K10" s="34"/>
      <c r="L10" s="34"/>
      <c r="M10" s="38">
        <v>6.0</v>
      </c>
      <c r="N10" s="27" t="s">
        <v>258</v>
      </c>
      <c r="O10" s="26" t="s">
        <v>85</v>
      </c>
      <c r="P10" s="26" t="s">
        <v>4</v>
      </c>
      <c r="Q10" s="34"/>
      <c r="R10" s="34"/>
      <c r="S10" s="26">
        <v>6.0</v>
      </c>
      <c r="T10" s="27" t="s">
        <v>259</v>
      </c>
      <c r="U10" s="26" t="s">
        <v>85</v>
      </c>
      <c r="V10" s="26" t="s">
        <v>13</v>
      </c>
    </row>
    <row r="11">
      <c r="A11" s="38">
        <v>7.0</v>
      </c>
      <c r="B11" s="27" t="s">
        <v>260</v>
      </c>
      <c r="C11" s="26" t="s">
        <v>80</v>
      </c>
      <c r="D11" s="26" t="s">
        <v>13</v>
      </c>
      <c r="E11" s="34"/>
      <c r="F11" s="34"/>
      <c r="G11" s="26">
        <v>7.0</v>
      </c>
      <c r="H11" s="27" t="s">
        <v>261</v>
      </c>
      <c r="I11" s="26" t="s">
        <v>80</v>
      </c>
      <c r="J11" s="26" t="s">
        <v>4</v>
      </c>
      <c r="K11" s="34"/>
      <c r="L11" s="34"/>
      <c r="M11" s="38">
        <v>7.0</v>
      </c>
      <c r="N11" s="27" t="s">
        <v>262</v>
      </c>
      <c r="O11" s="26" t="s">
        <v>85</v>
      </c>
      <c r="P11" s="26" t="s">
        <v>10</v>
      </c>
      <c r="Q11" s="34"/>
      <c r="R11" s="34"/>
      <c r="S11" s="26">
        <v>7.0</v>
      </c>
      <c r="T11" s="27" t="s">
        <v>263</v>
      </c>
      <c r="U11" s="26" t="s">
        <v>80</v>
      </c>
      <c r="V11" s="26" t="s">
        <v>4</v>
      </c>
    </row>
    <row r="12">
      <c r="A12" s="38">
        <v>8.0</v>
      </c>
      <c r="B12" s="27" t="s">
        <v>264</v>
      </c>
      <c r="C12" s="26" t="s">
        <v>80</v>
      </c>
      <c r="D12" s="26" t="s">
        <v>7</v>
      </c>
      <c r="E12" s="34"/>
      <c r="F12" s="34"/>
      <c r="G12" s="26">
        <v>8.0</v>
      </c>
      <c r="H12" s="27" t="s">
        <v>265</v>
      </c>
      <c r="I12" s="26" t="s">
        <v>80</v>
      </c>
      <c r="J12" s="26" t="s">
        <v>4</v>
      </c>
      <c r="K12" s="34"/>
      <c r="L12" s="34"/>
      <c r="M12" s="38">
        <v>8.0</v>
      </c>
      <c r="N12" s="27" t="s">
        <v>266</v>
      </c>
      <c r="O12" s="26" t="s">
        <v>80</v>
      </c>
      <c r="P12" s="26" t="s">
        <v>13</v>
      </c>
      <c r="Q12" s="34"/>
      <c r="R12" s="34"/>
      <c r="S12" s="26">
        <v>8.0</v>
      </c>
      <c r="T12" s="27" t="s">
        <v>267</v>
      </c>
      <c r="U12" s="26" t="s">
        <v>85</v>
      </c>
      <c r="V12" s="26" t="s">
        <v>10</v>
      </c>
    </row>
    <row r="13">
      <c r="A13" s="38">
        <v>9.0</v>
      </c>
      <c r="B13" s="27" t="s">
        <v>268</v>
      </c>
      <c r="C13" s="26" t="s">
        <v>80</v>
      </c>
      <c r="D13" s="26" t="s">
        <v>7</v>
      </c>
      <c r="E13" s="34"/>
      <c r="F13" s="34"/>
      <c r="G13" s="26">
        <v>9.0</v>
      </c>
      <c r="H13" s="27" t="s">
        <v>269</v>
      </c>
      <c r="I13" s="26" t="s">
        <v>85</v>
      </c>
      <c r="J13" s="26" t="s">
        <v>13</v>
      </c>
      <c r="K13" s="34"/>
      <c r="L13" s="34"/>
      <c r="M13" s="38">
        <v>9.0</v>
      </c>
      <c r="N13" s="27" t="s">
        <v>270</v>
      </c>
      <c r="O13" s="26" t="s">
        <v>85</v>
      </c>
      <c r="P13" s="26" t="s">
        <v>4</v>
      </c>
      <c r="Q13" s="34"/>
      <c r="R13" s="34"/>
      <c r="S13" s="26">
        <v>9.0</v>
      </c>
      <c r="T13" s="27" t="s">
        <v>271</v>
      </c>
      <c r="U13" s="26" t="s">
        <v>80</v>
      </c>
      <c r="V13" s="26" t="s">
        <v>7</v>
      </c>
    </row>
    <row r="14">
      <c r="A14" s="38">
        <v>10.0</v>
      </c>
      <c r="B14" s="27" t="s">
        <v>272</v>
      </c>
      <c r="C14" s="26" t="s">
        <v>85</v>
      </c>
      <c r="D14" s="26" t="s">
        <v>4</v>
      </c>
      <c r="E14" s="34"/>
      <c r="F14" s="34"/>
      <c r="G14" s="26">
        <v>10.0</v>
      </c>
      <c r="H14" s="27" t="s">
        <v>273</v>
      </c>
      <c r="I14" s="26" t="s">
        <v>85</v>
      </c>
      <c r="J14" s="26" t="s">
        <v>7</v>
      </c>
      <c r="K14" s="34"/>
      <c r="L14" s="34"/>
      <c r="M14" s="38">
        <v>10.0</v>
      </c>
      <c r="N14" s="27" t="s">
        <v>274</v>
      </c>
      <c r="O14" s="26" t="s">
        <v>85</v>
      </c>
      <c r="P14" s="26" t="s">
        <v>13</v>
      </c>
      <c r="Q14" s="34"/>
      <c r="R14" s="34"/>
      <c r="S14" s="26">
        <v>10.0</v>
      </c>
      <c r="T14" s="27" t="s">
        <v>275</v>
      </c>
      <c r="U14" s="26" t="s">
        <v>85</v>
      </c>
      <c r="V14" s="27" t="s">
        <v>276</v>
      </c>
    </row>
    <row r="15">
      <c r="A15" s="38">
        <v>11.0</v>
      </c>
      <c r="B15" s="27" t="s">
        <v>277</v>
      </c>
      <c r="C15" s="26" t="s">
        <v>85</v>
      </c>
      <c r="D15" s="26" t="s">
        <v>10</v>
      </c>
      <c r="E15" s="34"/>
      <c r="F15" s="34"/>
      <c r="G15" s="26">
        <v>11.0</v>
      </c>
      <c r="H15" s="27" t="s">
        <v>278</v>
      </c>
      <c r="I15" s="26" t="s">
        <v>85</v>
      </c>
      <c r="J15" s="26" t="s">
        <v>10</v>
      </c>
      <c r="K15" s="34"/>
      <c r="L15" s="34"/>
      <c r="M15" s="38">
        <v>11.0</v>
      </c>
      <c r="N15" s="27" t="s">
        <v>279</v>
      </c>
      <c r="O15" s="26" t="s">
        <v>85</v>
      </c>
      <c r="P15" s="26" t="s">
        <v>10</v>
      </c>
      <c r="Q15" s="34"/>
      <c r="R15" s="34"/>
      <c r="S15" s="26">
        <v>11.0</v>
      </c>
      <c r="T15" s="27" t="s">
        <v>280</v>
      </c>
      <c r="U15" s="26" t="s">
        <v>85</v>
      </c>
      <c r="V15" s="26" t="s">
        <v>4</v>
      </c>
    </row>
    <row r="16">
      <c r="A16" s="38">
        <v>12.0</v>
      </c>
      <c r="B16" s="27" t="s">
        <v>281</v>
      </c>
      <c r="C16" s="26" t="s">
        <v>80</v>
      </c>
      <c r="D16" s="26" t="s">
        <v>10</v>
      </c>
      <c r="E16" s="34"/>
      <c r="F16" s="34"/>
      <c r="G16" s="26">
        <v>12.0</v>
      </c>
      <c r="H16" s="27" t="s">
        <v>282</v>
      </c>
      <c r="I16" s="26" t="s">
        <v>85</v>
      </c>
      <c r="J16" s="26" t="s">
        <v>13</v>
      </c>
      <c r="K16" s="34"/>
      <c r="L16" s="34"/>
      <c r="M16" s="38">
        <v>12.0</v>
      </c>
      <c r="N16" s="27" t="s">
        <v>283</v>
      </c>
      <c r="O16" s="26" t="s">
        <v>80</v>
      </c>
      <c r="P16" s="26" t="s">
        <v>4</v>
      </c>
      <c r="Q16" s="34"/>
      <c r="R16" s="34"/>
      <c r="S16" s="26">
        <v>12.0</v>
      </c>
      <c r="T16" s="27" t="s">
        <v>284</v>
      </c>
      <c r="U16" s="26" t="s">
        <v>80</v>
      </c>
      <c r="V16" s="26" t="s">
        <v>4</v>
      </c>
    </row>
    <row r="17">
      <c r="A17" s="38">
        <v>13.0</v>
      </c>
      <c r="B17" s="27" t="s">
        <v>285</v>
      </c>
      <c r="C17" s="26" t="s">
        <v>80</v>
      </c>
      <c r="D17" s="26" t="s">
        <v>13</v>
      </c>
      <c r="E17" s="34"/>
      <c r="F17" s="34"/>
      <c r="G17" s="26">
        <v>13.0</v>
      </c>
      <c r="H17" s="27" t="s">
        <v>286</v>
      </c>
      <c r="I17" s="26" t="s">
        <v>85</v>
      </c>
      <c r="J17" s="26" t="s">
        <v>7</v>
      </c>
      <c r="K17" s="34"/>
      <c r="L17" s="34"/>
      <c r="M17" s="38">
        <v>13.0</v>
      </c>
      <c r="N17" s="27" t="s">
        <v>287</v>
      </c>
      <c r="O17" s="26" t="s">
        <v>85</v>
      </c>
      <c r="P17" s="26" t="s">
        <v>4</v>
      </c>
      <c r="Q17" s="34"/>
      <c r="R17" s="34"/>
      <c r="S17" s="26">
        <v>13.0</v>
      </c>
      <c r="T17" s="27" t="s">
        <v>288</v>
      </c>
      <c r="U17" s="26" t="s">
        <v>80</v>
      </c>
      <c r="V17" s="26" t="s">
        <v>10</v>
      </c>
    </row>
    <row r="18">
      <c r="A18" s="38">
        <v>14.0</v>
      </c>
      <c r="B18" s="31" t="s">
        <v>289</v>
      </c>
      <c r="C18" s="26" t="s">
        <v>85</v>
      </c>
      <c r="D18" s="26" t="s">
        <v>10</v>
      </c>
      <c r="E18" s="34"/>
      <c r="F18" s="34"/>
      <c r="G18" s="26">
        <v>14.0</v>
      </c>
      <c r="H18" s="27" t="s">
        <v>290</v>
      </c>
      <c r="I18" s="26" t="s">
        <v>85</v>
      </c>
      <c r="J18" s="26" t="s">
        <v>10</v>
      </c>
      <c r="K18" s="34"/>
      <c r="L18" s="34"/>
      <c r="M18" s="38">
        <v>14.0</v>
      </c>
      <c r="N18" s="27" t="s">
        <v>291</v>
      </c>
      <c r="O18" s="26" t="s">
        <v>80</v>
      </c>
      <c r="P18" s="26" t="s">
        <v>10</v>
      </c>
      <c r="Q18" s="34"/>
      <c r="R18" s="34"/>
      <c r="S18" s="26">
        <v>14.0</v>
      </c>
      <c r="T18" s="27" t="s">
        <v>292</v>
      </c>
      <c r="U18" s="26" t="s">
        <v>80</v>
      </c>
      <c r="V18" s="26" t="s">
        <v>13</v>
      </c>
    </row>
    <row r="19">
      <c r="A19" s="38">
        <v>15.0</v>
      </c>
      <c r="B19" s="31" t="s">
        <v>293</v>
      </c>
      <c r="C19" s="26" t="s">
        <v>80</v>
      </c>
      <c r="D19" s="26" t="s">
        <v>4</v>
      </c>
      <c r="E19" s="34"/>
      <c r="F19" s="34"/>
      <c r="G19" s="26">
        <v>15.0</v>
      </c>
      <c r="H19" s="27" t="s">
        <v>294</v>
      </c>
      <c r="I19" s="26" t="s">
        <v>85</v>
      </c>
      <c r="J19" s="26" t="s">
        <v>10</v>
      </c>
      <c r="K19" s="34"/>
      <c r="L19" s="34"/>
      <c r="M19" s="38">
        <v>15.0</v>
      </c>
      <c r="N19" s="27" t="s">
        <v>295</v>
      </c>
      <c r="O19" s="26" t="s">
        <v>80</v>
      </c>
      <c r="P19" s="26" t="s">
        <v>10</v>
      </c>
      <c r="Q19" s="34"/>
      <c r="R19" s="34"/>
      <c r="S19" s="26">
        <v>15.0</v>
      </c>
      <c r="T19" s="27" t="s">
        <v>296</v>
      </c>
      <c r="U19" s="26" t="s">
        <v>80</v>
      </c>
      <c r="V19" s="26" t="s">
        <v>10</v>
      </c>
    </row>
    <row r="20">
      <c r="A20" s="38">
        <v>16.0</v>
      </c>
      <c r="B20" s="31" t="s">
        <v>297</v>
      </c>
      <c r="C20" s="26" t="s">
        <v>85</v>
      </c>
      <c r="D20" s="26" t="s">
        <v>13</v>
      </c>
      <c r="E20" s="34"/>
      <c r="F20" s="34"/>
      <c r="G20" s="26">
        <v>16.0</v>
      </c>
      <c r="H20" s="27" t="s">
        <v>298</v>
      </c>
      <c r="I20" s="26" t="s">
        <v>80</v>
      </c>
      <c r="J20" s="26" t="s">
        <v>10</v>
      </c>
      <c r="K20" s="34"/>
      <c r="L20" s="34"/>
      <c r="M20" s="38">
        <v>16.0</v>
      </c>
      <c r="N20" s="27" t="s">
        <v>299</v>
      </c>
      <c r="O20" s="26" t="s">
        <v>85</v>
      </c>
      <c r="P20" s="26" t="s">
        <v>13</v>
      </c>
      <c r="Q20" s="34"/>
      <c r="R20" s="34"/>
      <c r="S20" s="26">
        <v>16.0</v>
      </c>
      <c r="T20" s="27" t="s">
        <v>300</v>
      </c>
      <c r="U20" s="26" t="s">
        <v>85</v>
      </c>
      <c r="V20" s="26" t="s">
        <v>4</v>
      </c>
    </row>
    <row r="21" ht="15.75" customHeight="1">
      <c r="A21" s="38">
        <v>17.0</v>
      </c>
      <c r="B21" s="34" t="s">
        <v>301</v>
      </c>
      <c r="C21" s="26" t="s">
        <v>85</v>
      </c>
      <c r="D21" s="26" t="s">
        <v>7</v>
      </c>
      <c r="E21" s="34"/>
      <c r="F21" s="34"/>
      <c r="G21" s="26">
        <v>17.0</v>
      </c>
      <c r="H21" s="33" t="s">
        <v>302</v>
      </c>
      <c r="I21" s="26" t="s">
        <v>85</v>
      </c>
      <c r="J21" s="26" t="s">
        <v>7</v>
      </c>
      <c r="K21" s="34"/>
      <c r="L21" s="34"/>
      <c r="M21" s="38">
        <v>17.0</v>
      </c>
      <c r="N21" s="31" t="s">
        <v>303</v>
      </c>
      <c r="O21" s="26" t="s">
        <v>85</v>
      </c>
      <c r="P21" s="26" t="s">
        <v>13</v>
      </c>
      <c r="Q21" s="34"/>
      <c r="R21" s="34"/>
      <c r="S21" s="26">
        <v>17.0</v>
      </c>
      <c r="T21" s="31" t="s">
        <v>304</v>
      </c>
      <c r="U21" s="26" t="s">
        <v>85</v>
      </c>
      <c r="V21" s="26" t="s">
        <v>10</v>
      </c>
    </row>
    <row r="22" ht="15.75" customHeight="1">
      <c r="A22" s="38">
        <v>18.0</v>
      </c>
      <c r="B22" s="27" t="s">
        <v>305</v>
      </c>
      <c r="C22" s="26" t="s">
        <v>80</v>
      </c>
      <c r="D22" s="26" t="s">
        <v>13</v>
      </c>
      <c r="E22" s="34"/>
      <c r="F22" s="34"/>
      <c r="G22" s="26">
        <v>18.0</v>
      </c>
      <c r="H22" s="31" t="s">
        <v>306</v>
      </c>
      <c r="I22" s="26" t="s">
        <v>80</v>
      </c>
      <c r="J22" s="26" t="s">
        <v>7</v>
      </c>
      <c r="K22" s="34"/>
      <c r="L22" s="34"/>
      <c r="M22" s="38">
        <v>18.0</v>
      </c>
      <c r="N22" s="31" t="s">
        <v>307</v>
      </c>
      <c r="O22" s="26" t="s">
        <v>85</v>
      </c>
      <c r="P22" s="26" t="s">
        <v>7</v>
      </c>
      <c r="Q22" s="34"/>
      <c r="R22" s="34"/>
      <c r="S22" s="26">
        <v>18.0</v>
      </c>
      <c r="T22" s="31" t="s">
        <v>308</v>
      </c>
      <c r="U22" s="26" t="s">
        <v>85</v>
      </c>
      <c r="V22" s="26" t="s">
        <v>7</v>
      </c>
    </row>
    <row r="23" ht="15.75" customHeight="1">
      <c r="A23" s="38">
        <v>19.0</v>
      </c>
      <c r="B23" s="31" t="s">
        <v>309</v>
      </c>
      <c r="C23" s="26" t="s">
        <v>80</v>
      </c>
      <c r="D23" s="26" t="s">
        <v>7</v>
      </c>
      <c r="E23" s="34"/>
      <c r="F23" s="34"/>
      <c r="G23" s="26">
        <v>19.0</v>
      </c>
      <c r="H23" s="31" t="s">
        <v>310</v>
      </c>
      <c r="I23" s="26" t="s">
        <v>80</v>
      </c>
      <c r="J23" s="26" t="s">
        <v>7</v>
      </c>
      <c r="K23" s="34"/>
      <c r="L23" s="34"/>
      <c r="M23" s="38">
        <v>19.0</v>
      </c>
      <c r="N23" s="31" t="s">
        <v>311</v>
      </c>
      <c r="O23" s="26" t="s">
        <v>80</v>
      </c>
      <c r="P23" s="26" t="s">
        <v>4</v>
      </c>
      <c r="Q23" s="34"/>
      <c r="R23" s="34"/>
      <c r="S23" s="26">
        <v>19.0</v>
      </c>
      <c r="T23" s="31" t="s">
        <v>312</v>
      </c>
      <c r="U23" s="26" t="s">
        <v>85</v>
      </c>
      <c r="V23" s="26" t="s">
        <v>10</v>
      </c>
    </row>
    <row r="24" ht="15.75" customHeight="1">
      <c r="A24" s="38">
        <v>20.0</v>
      </c>
      <c r="B24" s="31" t="s">
        <v>313</v>
      </c>
      <c r="C24" s="26" t="s">
        <v>85</v>
      </c>
      <c r="D24" s="26" t="s">
        <v>10</v>
      </c>
      <c r="E24" s="34"/>
      <c r="F24" s="34"/>
      <c r="G24" s="26">
        <v>20.0</v>
      </c>
      <c r="H24" s="31" t="s">
        <v>314</v>
      </c>
      <c r="I24" s="26" t="s">
        <v>80</v>
      </c>
      <c r="J24" s="26" t="s">
        <v>4</v>
      </c>
      <c r="K24" s="34"/>
      <c r="L24" s="34"/>
      <c r="M24" s="38">
        <v>20.0</v>
      </c>
      <c r="N24" s="31" t="s">
        <v>315</v>
      </c>
      <c r="O24" s="26" t="s">
        <v>85</v>
      </c>
      <c r="P24" s="26" t="s">
        <v>4</v>
      </c>
      <c r="Q24" s="34"/>
      <c r="R24" s="34"/>
      <c r="S24" s="26">
        <v>20.0</v>
      </c>
      <c r="T24" s="31" t="s">
        <v>316</v>
      </c>
      <c r="U24" s="26" t="s">
        <v>85</v>
      </c>
      <c r="V24" s="26" t="s">
        <v>4</v>
      </c>
    </row>
    <row r="25" ht="15.75" customHeight="1">
      <c r="A25" s="38">
        <v>21.0</v>
      </c>
      <c r="B25" s="31" t="s">
        <v>317</v>
      </c>
      <c r="C25" s="26" t="s">
        <v>80</v>
      </c>
      <c r="D25" s="26" t="s">
        <v>10</v>
      </c>
      <c r="E25" s="34"/>
      <c r="F25" s="34"/>
      <c r="G25" s="26">
        <v>21.0</v>
      </c>
      <c r="H25" s="31" t="s">
        <v>318</v>
      </c>
      <c r="I25" s="26" t="s">
        <v>80</v>
      </c>
      <c r="J25" s="26" t="s">
        <v>7</v>
      </c>
      <c r="K25" s="34"/>
      <c r="L25" s="34"/>
      <c r="M25" s="38">
        <v>21.0</v>
      </c>
      <c r="N25" s="31" t="s">
        <v>319</v>
      </c>
      <c r="O25" s="26" t="s">
        <v>80</v>
      </c>
      <c r="P25" s="26" t="s">
        <v>4</v>
      </c>
      <c r="Q25" s="34"/>
      <c r="R25" s="34"/>
      <c r="S25" s="26">
        <v>21.0</v>
      </c>
      <c r="T25" s="31" t="s">
        <v>320</v>
      </c>
      <c r="U25" s="26" t="s">
        <v>80</v>
      </c>
      <c r="V25" s="26" t="s">
        <v>10</v>
      </c>
    </row>
    <row r="26" ht="15.75" customHeight="1">
      <c r="A26" s="38">
        <v>22.0</v>
      </c>
      <c r="B26" s="31" t="s">
        <v>321</v>
      </c>
      <c r="C26" s="26" t="s">
        <v>85</v>
      </c>
      <c r="D26" s="26" t="s">
        <v>13</v>
      </c>
      <c r="E26" s="34"/>
      <c r="F26" s="34"/>
      <c r="G26" s="26">
        <v>22.0</v>
      </c>
      <c r="H26" s="31" t="s">
        <v>322</v>
      </c>
      <c r="I26" s="26" t="s">
        <v>80</v>
      </c>
      <c r="J26" s="26" t="s">
        <v>10</v>
      </c>
      <c r="K26" s="34"/>
      <c r="L26" s="34"/>
      <c r="M26" s="38">
        <v>22.0</v>
      </c>
      <c r="N26" s="31" t="s">
        <v>323</v>
      </c>
      <c r="O26" s="26" t="s">
        <v>80</v>
      </c>
      <c r="P26" s="26" t="s">
        <v>7</v>
      </c>
      <c r="Q26" s="34"/>
      <c r="R26" s="34"/>
      <c r="S26" s="26">
        <v>22.0</v>
      </c>
      <c r="T26" s="31" t="s">
        <v>324</v>
      </c>
      <c r="U26" s="26" t="s">
        <v>85</v>
      </c>
      <c r="V26" s="26" t="s">
        <v>13</v>
      </c>
    </row>
    <row r="27" ht="15.75" customHeight="1">
      <c r="A27" s="38">
        <v>23.0</v>
      </c>
      <c r="B27" s="31" t="s">
        <v>325</v>
      </c>
      <c r="C27" s="26" t="s">
        <v>85</v>
      </c>
      <c r="D27" s="26" t="s">
        <v>7</v>
      </c>
      <c r="E27" s="34"/>
      <c r="F27" s="34"/>
      <c r="G27" s="26">
        <v>23.0</v>
      </c>
      <c r="H27" s="31"/>
      <c r="I27" s="26"/>
      <c r="J27" s="26"/>
      <c r="K27" s="34"/>
      <c r="L27" s="34"/>
      <c r="M27" s="38">
        <v>23.0</v>
      </c>
      <c r="N27" s="27" t="s">
        <v>326</v>
      </c>
      <c r="O27" s="26" t="s">
        <v>80</v>
      </c>
      <c r="P27" s="26" t="s">
        <v>10</v>
      </c>
      <c r="Q27" s="34"/>
      <c r="R27" s="34"/>
      <c r="S27" s="26">
        <v>23.0</v>
      </c>
      <c r="T27" s="31" t="s">
        <v>327</v>
      </c>
      <c r="U27" s="26" t="s">
        <v>80</v>
      </c>
      <c r="V27" s="26" t="s">
        <v>7</v>
      </c>
    </row>
    <row r="28" ht="15.75" customHeight="1">
      <c r="A28" s="38">
        <v>24.0</v>
      </c>
      <c r="B28" s="39"/>
      <c r="C28" s="27"/>
      <c r="D28" s="27"/>
      <c r="E28" s="34"/>
      <c r="F28" s="34"/>
      <c r="G28" s="26">
        <v>24.0</v>
      </c>
      <c r="H28" s="31"/>
      <c r="I28" s="27"/>
      <c r="J28" s="27"/>
      <c r="K28" s="34"/>
      <c r="L28" s="34"/>
      <c r="M28" s="38">
        <v>24.0</v>
      </c>
      <c r="N28" s="27"/>
      <c r="O28" s="27"/>
      <c r="P28" s="27"/>
      <c r="Q28" s="34"/>
      <c r="R28" s="34"/>
      <c r="S28" s="26">
        <v>24.0</v>
      </c>
      <c r="T28" s="31"/>
      <c r="U28" s="27"/>
      <c r="V28" s="27"/>
    </row>
    <row r="29" ht="15.75" customHeight="1">
      <c r="A29" s="38">
        <v>25.0</v>
      </c>
      <c r="B29" s="27"/>
      <c r="C29" s="40"/>
      <c r="D29" s="27"/>
      <c r="E29" s="34"/>
      <c r="F29" s="34"/>
      <c r="G29" s="26">
        <v>25.0</v>
      </c>
      <c r="H29" s="31"/>
      <c r="I29" s="27"/>
      <c r="J29" s="27"/>
      <c r="K29" s="34"/>
      <c r="L29" s="34"/>
      <c r="M29" s="38">
        <v>25.0</v>
      </c>
      <c r="N29" s="27"/>
      <c r="O29" s="27"/>
      <c r="P29" s="27"/>
      <c r="Q29" s="34"/>
      <c r="R29" s="34"/>
      <c r="S29" s="26">
        <v>25.0</v>
      </c>
      <c r="T29" s="27"/>
      <c r="U29" s="27"/>
      <c r="V29" s="27"/>
    </row>
    <row r="30" ht="15.7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</row>
    <row r="31" ht="15.75" customHeight="1">
      <c r="A31" s="34"/>
      <c r="B31" s="37" t="s">
        <v>229</v>
      </c>
      <c r="C31" s="37" t="str">
        <f>COUNTIF(C5:C29,"L")</f>
        <v>10</v>
      </c>
      <c r="D31" s="34"/>
      <c r="E31" s="34"/>
      <c r="F31" s="34"/>
      <c r="G31" s="34"/>
      <c r="H31" s="37" t="s">
        <v>229</v>
      </c>
      <c r="I31" s="37" t="str">
        <f>COUNTIF(I5:I29,"L")</f>
        <v>10</v>
      </c>
      <c r="J31" s="34"/>
      <c r="K31" s="34"/>
      <c r="L31" s="34"/>
      <c r="M31" s="34"/>
      <c r="N31" s="37" t="s">
        <v>229</v>
      </c>
      <c r="O31" s="37" t="str">
        <f>COUNTIF(O5:O29,"L")</f>
        <v>11</v>
      </c>
      <c r="P31" s="34"/>
      <c r="T31" s="37" t="s">
        <v>229</v>
      </c>
      <c r="U31" s="37" t="str">
        <f>COUNTIF(U5:U29,"L")</f>
        <v>11</v>
      </c>
    </row>
    <row r="32" ht="15.75" customHeight="1">
      <c r="B32" s="37" t="s">
        <v>230</v>
      </c>
      <c r="C32" s="37" t="str">
        <f>COUNTIF(C5:C29,"P")</f>
        <v>13</v>
      </c>
      <c r="H32" s="37" t="s">
        <v>230</v>
      </c>
      <c r="I32" s="37" t="str">
        <f>COUNTIF(I5:I29,"P")</f>
        <v>12</v>
      </c>
      <c r="N32" s="37" t="s">
        <v>230</v>
      </c>
      <c r="O32" s="37" t="str">
        <f>COUNTIF(O5:O29,"P")</f>
        <v>12</v>
      </c>
      <c r="T32" s="37" t="s">
        <v>230</v>
      </c>
      <c r="U32" s="37" t="str">
        <f>COUNTIF(U5:U29,"P")</f>
        <v>12</v>
      </c>
    </row>
    <row r="33" ht="15.75" customHeight="1">
      <c r="B33" s="37" t="s">
        <v>231</v>
      </c>
      <c r="C33" s="37" t="str">
        <f>SUM(C31:C32)</f>
        <v>23</v>
      </c>
      <c r="H33" s="37" t="s">
        <v>231</v>
      </c>
      <c r="I33" s="37" t="str">
        <f>SUM(I31:I32)</f>
        <v>22</v>
      </c>
      <c r="N33" s="37" t="s">
        <v>231</v>
      </c>
      <c r="O33" s="37" t="str">
        <f>SUM(O31:O32)</f>
        <v>23</v>
      </c>
      <c r="T33" s="37" t="s">
        <v>231</v>
      </c>
      <c r="U33" s="37" t="str">
        <f>SUM(U31:U32)</f>
        <v>23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</sheetData>
  <autoFilter ref="$S$4:$V$29">
    <sortState ref="S4:V29">
      <sortCondition ref="T4:T29"/>
    </sortState>
  </autoFilter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29.71"/>
    <col customWidth="1" min="3" max="3" width="8.71"/>
    <col customWidth="1" min="4" max="4" width="18.0"/>
    <col customWidth="1" min="5" max="7" width="8.71"/>
    <col customWidth="1" min="8" max="8" width="28.43"/>
    <col customWidth="1" min="9" max="9" width="8.71"/>
    <col customWidth="1" min="10" max="10" width="18.86"/>
    <col customWidth="1" min="11" max="13" width="8.71"/>
    <col customWidth="1" min="14" max="14" width="33.86"/>
    <col customWidth="1" min="15" max="15" width="8.71"/>
    <col customWidth="1" min="16" max="16" width="15.43"/>
    <col customWidth="1" min="17" max="19" width="8.71"/>
    <col customWidth="1" min="20" max="20" width="34.43"/>
    <col customWidth="1" min="21" max="21" width="8.71"/>
    <col customWidth="1" min="22" max="22" width="17.43"/>
    <col customWidth="1" min="23" max="26" width="8.71"/>
  </cols>
  <sheetData>
    <row r="2">
      <c r="A2" s="23" t="s">
        <v>328</v>
      </c>
      <c r="B2" s="23"/>
      <c r="C2" s="23"/>
      <c r="D2" s="23"/>
      <c r="E2" s="23"/>
      <c r="F2" s="23"/>
      <c r="G2" s="23" t="s">
        <v>329</v>
      </c>
      <c r="H2" s="23"/>
      <c r="I2" s="23"/>
      <c r="J2" s="23"/>
      <c r="K2" s="23"/>
      <c r="L2" s="23"/>
      <c r="M2" s="23" t="s">
        <v>330</v>
      </c>
      <c r="N2" s="23"/>
      <c r="O2" s="23"/>
      <c r="P2" s="23"/>
      <c r="Q2" s="23"/>
      <c r="R2" s="23"/>
      <c r="S2" s="23" t="s">
        <v>331</v>
      </c>
      <c r="T2" s="23"/>
      <c r="U2" s="23"/>
      <c r="V2" s="23"/>
      <c r="W2" s="23"/>
      <c r="X2" s="23"/>
      <c r="Y2" s="23"/>
      <c r="Z2" s="23"/>
    </row>
    <row r="4">
      <c r="A4" s="25" t="s">
        <v>74</v>
      </c>
      <c r="B4" s="25" t="s">
        <v>75</v>
      </c>
      <c r="C4" s="25" t="s">
        <v>76</v>
      </c>
      <c r="D4" s="25" t="s">
        <v>78</v>
      </c>
      <c r="G4" s="25" t="s">
        <v>74</v>
      </c>
      <c r="H4" s="25" t="s">
        <v>75</v>
      </c>
      <c r="I4" s="25" t="s">
        <v>76</v>
      </c>
      <c r="J4" s="25" t="s">
        <v>78</v>
      </c>
      <c r="M4" s="25" t="s">
        <v>74</v>
      </c>
      <c r="N4" s="25" t="s">
        <v>75</v>
      </c>
      <c r="O4" s="25" t="s">
        <v>76</v>
      </c>
      <c r="P4" s="25" t="s">
        <v>78</v>
      </c>
      <c r="S4" s="25" t="s">
        <v>74</v>
      </c>
      <c r="T4" s="25" t="s">
        <v>75</v>
      </c>
      <c r="U4" s="25" t="s">
        <v>76</v>
      </c>
      <c r="V4" s="25" t="s">
        <v>78</v>
      </c>
    </row>
    <row r="5" ht="15.75" customHeight="1">
      <c r="A5" s="38">
        <v>1.0</v>
      </c>
      <c r="B5" s="27" t="s">
        <v>332</v>
      </c>
      <c r="C5" s="26" t="s">
        <v>85</v>
      </c>
      <c r="D5" s="26" t="s">
        <v>25</v>
      </c>
      <c r="E5" s="34"/>
      <c r="F5" s="34"/>
      <c r="G5" s="38">
        <v>1.0</v>
      </c>
      <c r="H5" s="27" t="s">
        <v>333</v>
      </c>
      <c r="I5" s="26" t="s">
        <v>85</v>
      </c>
      <c r="J5" s="26" t="s">
        <v>19</v>
      </c>
      <c r="K5" s="34"/>
      <c r="L5" s="34"/>
      <c r="M5" s="38">
        <v>1.0</v>
      </c>
      <c r="N5" s="27" t="s">
        <v>334</v>
      </c>
      <c r="O5" s="26" t="s">
        <v>80</v>
      </c>
      <c r="P5" s="26" t="s">
        <v>16</v>
      </c>
      <c r="Q5" s="34"/>
      <c r="R5" s="34"/>
      <c r="S5" s="38">
        <v>1.0</v>
      </c>
      <c r="T5" s="27" t="s">
        <v>335</v>
      </c>
      <c r="U5" s="26" t="s">
        <v>85</v>
      </c>
      <c r="V5" s="26" t="s">
        <v>25</v>
      </c>
      <c r="W5" s="34"/>
    </row>
    <row r="6">
      <c r="A6" s="38">
        <v>2.0</v>
      </c>
      <c r="B6" s="27" t="s">
        <v>336</v>
      </c>
      <c r="C6" s="26" t="s">
        <v>85</v>
      </c>
      <c r="D6" s="26" t="s">
        <v>25</v>
      </c>
      <c r="E6" s="34"/>
      <c r="F6" s="34"/>
      <c r="G6" s="38">
        <v>2.0</v>
      </c>
      <c r="H6" s="27" t="s">
        <v>337</v>
      </c>
      <c r="I6" s="26" t="s">
        <v>80</v>
      </c>
      <c r="J6" s="26" t="s">
        <v>25</v>
      </c>
      <c r="K6" s="34"/>
      <c r="L6" s="34"/>
      <c r="M6" s="38">
        <v>2.0</v>
      </c>
      <c r="N6" s="27" t="s">
        <v>338</v>
      </c>
      <c r="O6" s="26" t="s">
        <v>85</v>
      </c>
      <c r="P6" s="26" t="s">
        <v>25</v>
      </c>
      <c r="Q6" s="34"/>
      <c r="R6" s="34"/>
      <c r="S6" s="38">
        <v>2.0</v>
      </c>
      <c r="T6" s="27" t="s">
        <v>339</v>
      </c>
      <c r="U6" s="26" t="s">
        <v>80</v>
      </c>
      <c r="V6" s="26" t="s">
        <v>16</v>
      </c>
      <c r="W6" s="34"/>
    </row>
    <row r="7">
      <c r="A7" s="38">
        <v>3.0</v>
      </c>
      <c r="B7" s="27" t="s">
        <v>340</v>
      </c>
      <c r="C7" s="26" t="s">
        <v>85</v>
      </c>
      <c r="D7" s="26" t="s">
        <v>19</v>
      </c>
      <c r="E7" s="34"/>
      <c r="F7" s="34"/>
      <c r="G7" s="38">
        <v>3.0</v>
      </c>
      <c r="H7" s="27" t="s">
        <v>341</v>
      </c>
      <c r="I7" s="26" t="s">
        <v>85</v>
      </c>
      <c r="J7" s="26" t="s">
        <v>19</v>
      </c>
      <c r="K7" s="34"/>
      <c r="L7" s="34"/>
      <c r="M7" s="38">
        <v>3.0</v>
      </c>
      <c r="N7" s="34" t="s">
        <v>342</v>
      </c>
      <c r="O7" s="26" t="s">
        <v>80</v>
      </c>
      <c r="P7" s="26" t="s">
        <v>22</v>
      </c>
      <c r="Q7" s="34"/>
      <c r="R7" s="34"/>
      <c r="S7" s="38">
        <v>3.0</v>
      </c>
      <c r="T7" s="27" t="s">
        <v>343</v>
      </c>
      <c r="U7" s="26" t="s">
        <v>85</v>
      </c>
      <c r="V7" s="26" t="s">
        <v>16</v>
      </c>
      <c r="W7" s="34"/>
    </row>
    <row r="8">
      <c r="A8" s="38">
        <v>4.0</v>
      </c>
      <c r="B8" s="27" t="s">
        <v>344</v>
      </c>
      <c r="C8" s="26" t="s">
        <v>80</v>
      </c>
      <c r="D8" s="26" t="s">
        <v>22</v>
      </c>
      <c r="E8" s="34"/>
      <c r="F8" s="34"/>
      <c r="G8" s="38">
        <v>4.0</v>
      </c>
      <c r="H8" s="27" t="s">
        <v>345</v>
      </c>
      <c r="I8" s="26" t="s">
        <v>85</v>
      </c>
      <c r="J8" s="26" t="s">
        <v>16</v>
      </c>
      <c r="K8" s="34"/>
      <c r="L8" s="34"/>
      <c r="M8" s="38">
        <v>4.0</v>
      </c>
      <c r="N8" s="27" t="s">
        <v>346</v>
      </c>
      <c r="O8" s="26" t="s">
        <v>80</v>
      </c>
      <c r="P8" s="26" t="s">
        <v>22</v>
      </c>
      <c r="Q8" s="34"/>
      <c r="R8" s="34"/>
      <c r="S8" s="38">
        <v>4.0</v>
      </c>
      <c r="T8" s="27" t="s">
        <v>347</v>
      </c>
      <c r="U8" s="26" t="s">
        <v>80</v>
      </c>
      <c r="V8" s="26" t="s">
        <v>22</v>
      </c>
      <c r="W8" s="34"/>
    </row>
    <row r="9">
      <c r="A9" s="38">
        <v>5.0</v>
      </c>
      <c r="B9" s="27" t="s">
        <v>348</v>
      </c>
      <c r="C9" s="26" t="s">
        <v>80</v>
      </c>
      <c r="D9" s="26" t="s">
        <v>22</v>
      </c>
      <c r="E9" s="34"/>
      <c r="F9" s="34"/>
      <c r="G9" s="38">
        <v>5.0</v>
      </c>
      <c r="H9" s="34" t="s">
        <v>349</v>
      </c>
      <c r="I9" s="26" t="s">
        <v>80</v>
      </c>
      <c r="J9" s="26" t="s">
        <v>25</v>
      </c>
      <c r="K9" s="34"/>
      <c r="L9" s="34"/>
      <c r="M9" s="38">
        <v>5.0</v>
      </c>
      <c r="N9" s="27" t="s">
        <v>350</v>
      </c>
      <c r="O9" s="26" t="s">
        <v>85</v>
      </c>
      <c r="P9" s="26" t="s">
        <v>19</v>
      </c>
      <c r="Q9" s="34"/>
      <c r="R9" s="34"/>
      <c r="S9" s="38">
        <v>5.0</v>
      </c>
      <c r="T9" s="27" t="s">
        <v>351</v>
      </c>
      <c r="U9" s="26" t="s">
        <v>80</v>
      </c>
      <c r="V9" s="26" t="s">
        <v>25</v>
      </c>
      <c r="W9" s="34"/>
    </row>
    <row r="10">
      <c r="A10" s="38">
        <v>6.0</v>
      </c>
      <c r="B10" s="27" t="s">
        <v>352</v>
      </c>
      <c r="C10" s="26" t="s">
        <v>80</v>
      </c>
      <c r="D10" s="26" t="s">
        <v>19</v>
      </c>
      <c r="E10" s="34"/>
      <c r="F10" s="34"/>
      <c r="G10" s="38">
        <v>6.0</v>
      </c>
      <c r="H10" s="34" t="s">
        <v>353</v>
      </c>
      <c r="I10" s="26" t="s">
        <v>80</v>
      </c>
      <c r="J10" s="26" t="s">
        <v>16</v>
      </c>
      <c r="K10" s="34"/>
      <c r="L10" s="34"/>
      <c r="M10" s="38">
        <v>6.0</v>
      </c>
      <c r="N10" s="41" t="s">
        <v>354</v>
      </c>
      <c r="O10" s="26" t="s">
        <v>80</v>
      </c>
      <c r="P10" s="26" t="s">
        <v>16</v>
      </c>
      <c r="Q10" s="34"/>
      <c r="R10" s="34"/>
      <c r="S10" s="38">
        <v>6.0</v>
      </c>
      <c r="T10" s="27" t="s">
        <v>355</v>
      </c>
      <c r="U10" s="26" t="s">
        <v>80</v>
      </c>
      <c r="V10" s="26" t="s">
        <v>25</v>
      </c>
      <c r="W10" s="34"/>
    </row>
    <row r="11">
      <c r="A11" s="38">
        <v>7.0</v>
      </c>
      <c r="B11" s="27" t="s">
        <v>356</v>
      </c>
      <c r="C11" s="42" t="s">
        <v>80</v>
      </c>
      <c r="D11" s="26" t="s">
        <v>25</v>
      </c>
      <c r="E11" s="34"/>
      <c r="F11" s="34"/>
      <c r="G11" s="38">
        <v>7.0</v>
      </c>
      <c r="H11" s="27" t="s">
        <v>357</v>
      </c>
      <c r="I11" s="42" t="s">
        <v>80</v>
      </c>
      <c r="J11" s="26" t="s">
        <v>19</v>
      </c>
      <c r="K11" s="34"/>
      <c r="L11" s="34"/>
      <c r="M11" s="38">
        <v>7.0</v>
      </c>
      <c r="N11" s="27" t="s">
        <v>358</v>
      </c>
      <c r="O11" s="26" t="s">
        <v>80</v>
      </c>
      <c r="P11" s="26" t="s">
        <v>25</v>
      </c>
      <c r="Q11" s="34"/>
      <c r="R11" s="34"/>
      <c r="S11" s="38">
        <v>7.0</v>
      </c>
      <c r="T11" s="27" t="s">
        <v>359</v>
      </c>
      <c r="U11" s="42" t="s">
        <v>85</v>
      </c>
      <c r="V11" s="26" t="s">
        <v>22</v>
      </c>
      <c r="W11" s="34"/>
    </row>
    <row r="12">
      <c r="A12" s="38">
        <v>8.0</v>
      </c>
      <c r="B12" s="27" t="s">
        <v>360</v>
      </c>
      <c r="C12" s="42" t="s">
        <v>85</v>
      </c>
      <c r="D12" s="26" t="s">
        <v>16</v>
      </c>
      <c r="E12" s="34"/>
      <c r="F12" s="34"/>
      <c r="G12" s="38">
        <v>8.0</v>
      </c>
      <c r="H12" s="27" t="s">
        <v>361</v>
      </c>
      <c r="I12" s="42" t="s">
        <v>80</v>
      </c>
      <c r="J12" s="26" t="s">
        <v>16</v>
      </c>
      <c r="K12" s="34"/>
      <c r="L12" s="34"/>
      <c r="M12" s="38">
        <v>8.0</v>
      </c>
      <c r="N12" s="27" t="s">
        <v>362</v>
      </c>
      <c r="O12" s="42" t="s">
        <v>85</v>
      </c>
      <c r="P12" s="26" t="s">
        <v>22</v>
      </c>
      <c r="Q12" s="34"/>
      <c r="R12" s="34"/>
      <c r="S12" s="38">
        <v>8.0</v>
      </c>
      <c r="T12" s="27" t="s">
        <v>363</v>
      </c>
      <c r="U12" s="42" t="s">
        <v>85</v>
      </c>
      <c r="V12" s="26" t="s">
        <v>16</v>
      </c>
      <c r="W12" s="34"/>
    </row>
    <row r="13">
      <c r="A13" s="38">
        <v>9.0</v>
      </c>
      <c r="B13" s="33" t="s">
        <v>364</v>
      </c>
      <c r="C13" s="42" t="s">
        <v>80</v>
      </c>
      <c r="D13" s="26" t="s">
        <v>22</v>
      </c>
      <c r="E13" s="34"/>
      <c r="F13" s="34"/>
      <c r="G13" s="38">
        <v>9.0</v>
      </c>
      <c r="H13" s="27" t="s">
        <v>365</v>
      </c>
      <c r="I13" s="42" t="s">
        <v>85</v>
      </c>
      <c r="J13" s="26" t="s">
        <v>25</v>
      </c>
      <c r="K13" s="34"/>
      <c r="L13" s="34"/>
      <c r="M13" s="38">
        <v>9.0</v>
      </c>
      <c r="N13" s="41" t="s">
        <v>366</v>
      </c>
      <c r="O13" s="42" t="s">
        <v>80</v>
      </c>
      <c r="P13" s="26" t="s">
        <v>16</v>
      </c>
      <c r="Q13" s="34"/>
      <c r="R13" s="34"/>
      <c r="S13" s="38">
        <v>9.0</v>
      </c>
      <c r="T13" s="27" t="s">
        <v>367</v>
      </c>
      <c r="U13" s="42" t="s">
        <v>80</v>
      </c>
      <c r="V13" s="26" t="s">
        <v>25</v>
      </c>
      <c r="W13" s="34"/>
    </row>
    <row r="14">
      <c r="A14" s="38">
        <v>10.0</v>
      </c>
      <c r="B14" s="27" t="s">
        <v>368</v>
      </c>
      <c r="C14" s="42" t="s">
        <v>85</v>
      </c>
      <c r="D14" s="26" t="s">
        <v>19</v>
      </c>
      <c r="E14" s="34"/>
      <c r="F14" s="34"/>
      <c r="G14" s="38">
        <v>10.0</v>
      </c>
      <c r="H14" s="27" t="s">
        <v>369</v>
      </c>
      <c r="I14" s="42" t="s">
        <v>80</v>
      </c>
      <c r="J14" s="26" t="s">
        <v>19</v>
      </c>
      <c r="K14" s="34"/>
      <c r="L14" s="34"/>
      <c r="M14" s="38">
        <v>10.0</v>
      </c>
      <c r="N14" s="27" t="s">
        <v>370</v>
      </c>
      <c r="O14" s="42" t="s">
        <v>80</v>
      </c>
      <c r="P14" s="26" t="s">
        <v>19</v>
      </c>
      <c r="Q14" s="34"/>
      <c r="R14" s="34"/>
      <c r="S14" s="38">
        <v>10.0</v>
      </c>
      <c r="T14" s="27" t="s">
        <v>371</v>
      </c>
      <c r="U14" s="42" t="s">
        <v>80</v>
      </c>
      <c r="V14" s="26" t="s">
        <v>16</v>
      </c>
      <c r="W14" s="34"/>
    </row>
    <row r="15">
      <c r="A15" s="38">
        <v>11.0</v>
      </c>
      <c r="B15" s="27" t="s">
        <v>372</v>
      </c>
      <c r="C15" s="42" t="s">
        <v>85</v>
      </c>
      <c r="D15" s="26" t="s">
        <v>22</v>
      </c>
      <c r="E15" s="34"/>
      <c r="F15" s="34"/>
      <c r="G15" s="38">
        <v>11.0</v>
      </c>
      <c r="H15" s="27" t="s">
        <v>373</v>
      </c>
      <c r="I15" s="42" t="s">
        <v>80</v>
      </c>
      <c r="J15" s="26" t="s">
        <v>16</v>
      </c>
      <c r="K15" s="34"/>
      <c r="L15" s="34"/>
      <c r="M15" s="38">
        <v>11.0</v>
      </c>
      <c r="N15" s="41" t="s">
        <v>374</v>
      </c>
      <c r="O15" s="42" t="s">
        <v>85</v>
      </c>
      <c r="P15" s="26" t="s">
        <v>16</v>
      </c>
      <c r="Q15" s="34"/>
      <c r="R15" s="34"/>
      <c r="S15" s="38">
        <v>11.0</v>
      </c>
      <c r="T15" s="27" t="s">
        <v>375</v>
      </c>
      <c r="U15" s="42" t="s">
        <v>80</v>
      </c>
      <c r="V15" s="26" t="s">
        <v>19</v>
      </c>
      <c r="W15" s="34"/>
    </row>
    <row r="16">
      <c r="A16" s="38">
        <v>12.0</v>
      </c>
      <c r="B16" s="43" t="s">
        <v>376</v>
      </c>
      <c r="C16" s="44" t="s">
        <v>85</v>
      </c>
      <c r="D16" s="45" t="s">
        <v>19</v>
      </c>
      <c r="E16" s="34"/>
      <c r="F16" s="34"/>
      <c r="G16" s="38">
        <v>12.0</v>
      </c>
      <c r="H16" s="27" t="s">
        <v>377</v>
      </c>
      <c r="I16" s="42" t="s">
        <v>85</v>
      </c>
      <c r="J16" s="26" t="s">
        <v>22</v>
      </c>
      <c r="K16" s="34"/>
      <c r="L16" s="34"/>
      <c r="M16" s="38">
        <v>12.0</v>
      </c>
      <c r="N16" s="27" t="s">
        <v>378</v>
      </c>
      <c r="O16" s="42" t="s">
        <v>85</v>
      </c>
      <c r="P16" s="26" t="s">
        <v>25</v>
      </c>
      <c r="Q16" s="34"/>
      <c r="R16" s="34"/>
      <c r="S16" s="38">
        <v>12.0</v>
      </c>
      <c r="T16" s="27" t="s">
        <v>379</v>
      </c>
      <c r="U16" s="42" t="s">
        <v>85</v>
      </c>
      <c r="V16" s="26" t="s">
        <v>19</v>
      </c>
      <c r="W16" s="34"/>
    </row>
    <row r="17">
      <c r="A17" s="38">
        <v>13.0</v>
      </c>
      <c r="B17" s="27" t="s">
        <v>380</v>
      </c>
      <c r="C17" s="26" t="s">
        <v>85</v>
      </c>
      <c r="D17" s="26" t="s">
        <v>22</v>
      </c>
      <c r="E17" s="34"/>
      <c r="F17" s="34"/>
      <c r="G17" s="38">
        <v>13.0</v>
      </c>
      <c r="H17" s="27" t="s">
        <v>381</v>
      </c>
      <c r="I17" s="26" t="s">
        <v>85</v>
      </c>
      <c r="J17" s="26" t="s">
        <v>16</v>
      </c>
      <c r="K17" s="34"/>
      <c r="L17" s="34"/>
      <c r="M17" s="38">
        <v>13.0</v>
      </c>
      <c r="N17" s="41" t="s">
        <v>382</v>
      </c>
      <c r="O17" s="26" t="s">
        <v>85</v>
      </c>
      <c r="P17" s="26" t="s">
        <v>16</v>
      </c>
      <c r="Q17" s="34"/>
      <c r="R17" s="34"/>
      <c r="S17" s="38">
        <v>13.0</v>
      </c>
      <c r="T17" s="27" t="s">
        <v>383</v>
      </c>
      <c r="U17" s="26" t="s">
        <v>85</v>
      </c>
      <c r="V17" s="26" t="s">
        <v>19</v>
      </c>
      <c r="W17" s="34"/>
    </row>
    <row r="18">
      <c r="A18" s="38">
        <v>14.0</v>
      </c>
      <c r="B18" s="27" t="s">
        <v>384</v>
      </c>
      <c r="C18" s="26" t="s">
        <v>80</v>
      </c>
      <c r="D18" s="26" t="s">
        <v>25</v>
      </c>
      <c r="E18" s="34"/>
      <c r="F18" s="34"/>
      <c r="G18" s="38">
        <v>14.0</v>
      </c>
      <c r="H18" s="27" t="s">
        <v>385</v>
      </c>
      <c r="I18" s="26" t="s">
        <v>80</v>
      </c>
      <c r="J18" s="26" t="s">
        <v>22</v>
      </c>
      <c r="K18" s="34"/>
      <c r="L18" s="34"/>
      <c r="M18" s="38">
        <v>14.0</v>
      </c>
      <c r="N18" s="27" t="s">
        <v>386</v>
      </c>
      <c r="O18" s="26" t="s">
        <v>80</v>
      </c>
      <c r="P18" s="26" t="s">
        <v>22</v>
      </c>
      <c r="Q18" s="34"/>
      <c r="R18" s="34"/>
      <c r="S18" s="38">
        <v>14.0</v>
      </c>
      <c r="T18" s="27" t="s">
        <v>387</v>
      </c>
      <c r="U18" s="26" t="s">
        <v>85</v>
      </c>
      <c r="V18" s="26" t="s">
        <v>25</v>
      </c>
      <c r="W18" s="34"/>
    </row>
    <row r="19">
      <c r="A19" s="38">
        <v>15.0</v>
      </c>
      <c r="B19" s="27" t="s">
        <v>388</v>
      </c>
      <c r="C19" s="26" t="s">
        <v>80</v>
      </c>
      <c r="D19" s="26" t="s">
        <v>19</v>
      </c>
      <c r="E19" s="34"/>
      <c r="F19" s="34"/>
      <c r="G19" s="38">
        <v>15.0</v>
      </c>
      <c r="H19" s="27" t="s">
        <v>389</v>
      </c>
      <c r="I19" s="26" t="s">
        <v>85</v>
      </c>
      <c r="J19" s="26" t="s">
        <v>22</v>
      </c>
      <c r="K19" s="34"/>
      <c r="L19" s="34"/>
      <c r="M19" s="38">
        <v>15.0</v>
      </c>
      <c r="N19" s="27" t="s">
        <v>390</v>
      </c>
      <c r="O19" s="26" t="s">
        <v>80</v>
      </c>
      <c r="P19" s="26" t="s">
        <v>25</v>
      </c>
      <c r="Q19" s="34"/>
      <c r="R19" s="34"/>
      <c r="S19" s="38">
        <v>15.0</v>
      </c>
      <c r="T19" s="46" t="s">
        <v>391</v>
      </c>
      <c r="U19" s="26" t="s">
        <v>85</v>
      </c>
      <c r="V19" s="26" t="s">
        <v>392</v>
      </c>
      <c r="W19" s="34"/>
    </row>
    <row r="20">
      <c r="A20" s="38">
        <v>16.0</v>
      </c>
      <c r="B20" s="27" t="s">
        <v>393</v>
      </c>
      <c r="C20" s="26" t="s">
        <v>85</v>
      </c>
      <c r="D20" s="26" t="s">
        <v>22</v>
      </c>
      <c r="E20" s="34"/>
      <c r="F20" s="34"/>
      <c r="G20" s="38">
        <v>16.0</v>
      </c>
      <c r="H20" s="27" t="s">
        <v>394</v>
      </c>
      <c r="I20" s="26" t="s">
        <v>85</v>
      </c>
      <c r="J20" s="26" t="s">
        <v>25</v>
      </c>
      <c r="K20" s="34"/>
      <c r="L20" s="34"/>
      <c r="M20" s="38">
        <v>16.0</v>
      </c>
      <c r="N20" s="27" t="s">
        <v>395</v>
      </c>
      <c r="O20" s="26" t="s">
        <v>85</v>
      </c>
      <c r="P20" s="26" t="s">
        <v>19</v>
      </c>
      <c r="Q20" s="34"/>
      <c r="R20" s="34"/>
      <c r="S20" s="38">
        <v>16.0</v>
      </c>
      <c r="T20" s="27" t="s">
        <v>396</v>
      </c>
      <c r="U20" s="26" t="s">
        <v>85</v>
      </c>
      <c r="V20" s="26" t="s">
        <v>22</v>
      </c>
      <c r="W20" s="34"/>
    </row>
    <row r="21" ht="15.75" customHeight="1">
      <c r="A21" s="38">
        <v>17.0</v>
      </c>
      <c r="B21" s="27" t="s">
        <v>397</v>
      </c>
      <c r="C21" s="26" t="s">
        <v>85</v>
      </c>
      <c r="D21" s="26" t="s">
        <v>392</v>
      </c>
      <c r="E21" s="34"/>
      <c r="F21" s="34"/>
      <c r="G21" s="38">
        <v>17.0</v>
      </c>
      <c r="H21" s="27" t="s">
        <v>398</v>
      </c>
      <c r="I21" s="26" t="s">
        <v>85</v>
      </c>
      <c r="J21" s="26" t="s">
        <v>22</v>
      </c>
      <c r="K21" s="34"/>
      <c r="L21" s="34"/>
      <c r="M21" s="38">
        <v>17.0</v>
      </c>
      <c r="N21" s="27" t="s">
        <v>399</v>
      </c>
      <c r="O21" s="26" t="s">
        <v>85</v>
      </c>
      <c r="P21" s="26" t="s">
        <v>19</v>
      </c>
      <c r="Q21" s="34"/>
      <c r="R21" s="34"/>
      <c r="S21" s="38">
        <v>17.0</v>
      </c>
      <c r="T21" s="27" t="s">
        <v>400</v>
      </c>
      <c r="U21" s="26" t="s">
        <v>80</v>
      </c>
      <c r="V21" s="26" t="s">
        <v>16</v>
      </c>
      <c r="W21" s="34"/>
    </row>
    <row r="22" ht="15.75" customHeight="1">
      <c r="A22" s="38">
        <v>18.0</v>
      </c>
      <c r="B22" s="27" t="s">
        <v>401</v>
      </c>
      <c r="C22" s="26" t="s">
        <v>85</v>
      </c>
      <c r="D22" s="26" t="s">
        <v>16</v>
      </c>
      <c r="E22" s="34"/>
      <c r="F22" s="34"/>
      <c r="G22" s="38">
        <v>18.0</v>
      </c>
      <c r="H22" s="27" t="s">
        <v>402</v>
      </c>
      <c r="I22" s="26" t="s">
        <v>85</v>
      </c>
      <c r="J22" s="26" t="s">
        <v>25</v>
      </c>
      <c r="K22" s="34"/>
      <c r="L22" s="34"/>
      <c r="M22" s="38">
        <v>18.0</v>
      </c>
      <c r="N22" s="27" t="s">
        <v>403</v>
      </c>
      <c r="O22" s="26" t="s">
        <v>85</v>
      </c>
      <c r="P22" s="26" t="s">
        <v>22</v>
      </c>
      <c r="Q22" s="34"/>
      <c r="R22" s="34"/>
      <c r="S22" s="38">
        <v>18.0</v>
      </c>
      <c r="T22" s="34" t="s">
        <v>404</v>
      </c>
      <c r="U22" s="26" t="s">
        <v>80</v>
      </c>
      <c r="V22" s="26" t="s">
        <v>22</v>
      </c>
      <c r="W22" s="34"/>
    </row>
    <row r="23" ht="15.75" customHeight="1">
      <c r="A23" s="38">
        <v>19.0</v>
      </c>
      <c r="B23" s="27" t="s">
        <v>405</v>
      </c>
      <c r="C23" s="26" t="s">
        <v>80</v>
      </c>
      <c r="D23" s="26" t="s">
        <v>25</v>
      </c>
      <c r="E23" s="34"/>
      <c r="F23" s="34"/>
      <c r="G23" s="38">
        <v>19.0</v>
      </c>
      <c r="H23" s="31" t="s">
        <v>406</v>
      </c>
      <c r="I23" s="26" t="s">
        <v>85</v>
      </c>
      <c r="J23" s="26" t="s">
        <v>19</v>
      </c>
      <c r="K23" s="34"/>
      <c r="L23" s="34"/>
      <c r="M23" s="38">
        <v>19.0</v>
      </c>
      <c r="N23" s="31" t="s">
        <v>407</v>
      </c>
      <c r="O23" s="26" t="s">
        <v>85</v>
      </c>
      <c r="P23" s="26" t="s">
        <v>22</v>
      </c>
      <c r="Q23" s="34"/>
      <c r="R23" s="34"/>
      <c r="S23" s="38">
        <v>19.0</v>
      </c>
      <c r="T23" s="27" t="s">
        <v>408</v>
      </c>
      <c r="U23" s="28" t="s">
        <v>80</v>
      </c>
      <c r="V23" s="26" t="s">
        <v>22</v>
      </c>
      <c r="W23" s="34"/>
    </row>
    <row r="24" ht="15.75" customHeight="1">
      <c r="A24" s="38">
        <v>20.0</v>
      </c>
      <c r="B24" s="27" t="s">
        <v>409</v>
      </c>
      <c r="C24" s="26" t="s">
        <v>85</v>
      </c>
      <c r="D24" s="26" t="s">
        <v>16</v>
      </c>
      <c r="E24" s="34"/>
      <c r="F24" s="34"/>
      <c r="G24" s="38">
        <v>20.0</v>
      </c>
      <c r="H24" s="31" t="s">
        <v>410</v>
      </c>
      <c r="I24" s="26" t="s">
        <v>80</v>
      </c>
      <c r="J24" s="26" t="s">
        <v>22</v>
      </c>
      <c r="K24" s="34"/>
      <c r="L24" s="34"/>
      <c r="M24" s="38">
        <v>20.0</v>
      </c>
      <c r="N24" s="47" t="s">
        <v>411</v>
      </c>
      <c r="O24" s="26" t="s">
        <v>85</v>
      </c>
      <c r="P24" s="26" t="s">
        <v>16</v>
      </c>
      <c r="Q24" s="34"/>
      <c r="R24" s="34"/>
      <c r="S24" s="38">
        <v>20.0</v>
      </c>
      <c r="T24" s="27" t="s">
        <v>412</v>
      </c>
      <c r="U24" s="26" t="s">
        <v>85</v>
      </c>
      <c r="V24" s="26" t="s">
        <v>22</v>
      </c>
      <c r="W24" s="34"/>
    </row>
    <row r="25" ht="15.75" customHeight="1">
      <c r="A25" s="38">
        <v>21.0</v>
      </c>
      <c r="B25" s="27" t="s">
        <v>413</v>
      </c>
      <c r="C25" s="26" t="s">
        <v>80</v>
      </c>
      <c r="D25" s="26" t="s">
        <v>16</v>
      </c>
      <c r="E25" s="34"/>
      <c r="F25" s="34"/>
      <c r="G25" s="38">
        <v>21.0</v>
      </c>
      <c r="H25" s="31" t="s">
        <v>414</v>
      </c>
      <c r="I25" s="26" t="s">
        <v>80</v>
      </c>
      <c r="J25" s="26" t="s">
        <v>25</v>
      </c>
      <c r="K25" s="34"/>
      <c r="L25" s="34"/>
      <c r="M25" s="38">
        <v>21.0</v>
      </c>
      <c r="N25" s="31" t="s">
        <v>415</v>
      </c>
      <c r="O25" s="26" t="s">
        <v>85</v>
      </c>
      <c r="P25" s="26" t="s">
        <v>22</v>
      </c>
      <c r="Q25" s="34"/>
      <c r="R25" s="34"/>
      <c r="S25" s="38">
        <v>21.0</v>
      </c>
      <c r="T25" s="27" t="s">
        <v>416</v>
      </c>
      <c r="U25" s="26" t="s">
        <v>80</v>
      </c>
      <c r="V25" s="26" t="s">
        <v>19</v>
      </c>
      <c r="W25" s="34"/>
    </row>
    <row r="26" ht="15.75" customHeight="1">
      <c r="A26" s="38">
        <v>22.0</v>
      </c>
      <c r="B26" s="27" t="s">
        <v>417</v>
      </c>
      <c r="C26" s="26" t="s">
        <v>80</v>
      </c>
      <c r="D26" s="26" t="s">
        <v>16</v>
      </c>
      <c r="E26" s="34"/>
      <c r="F26" s="34"/>
      <c r="G26" s="38">
        <v>22.0</v>
      </c>
      <c r="H26" s="27" t="s">
        <v>418</v>
      </c>
      <c r="I26" s="26" t="s">
        <v>80</v>
      </c>
      <c r="J26" s="26" t="s">
        <v>19</v>
      </c>
      <c r="K26" s="34"/>
      <c r="L26" s="34"/>
      <c r="M26" s="38">
        <v>22.0</v>
      </c>
      <c r="N26" s="27" t="s">
        <v>419</v>
      </c>
      <c r="O26" s="26" t="s">
        <v>85</v>
      </c>
      <c r="P26" s="26" t="s">
        <v>25</v>
      </c>
      <c r="Q26" s="34"/>
      <c r="R26" s="34"/>
      <c r="S26" s="38">
        <v>22.0</v>
      </c>
      <c r="T26" s="27" t="s">
        <v>420</v>
      </c>
      <c r="U26" s="26" t="s">
        <v>85</v>
      </c>
      <c r="V26" s="26" t="s">
        <v>19</v>
      </c>
      <c r="W26" s="34"/>
    </row>
    <row r="27" ht="15.75" customHeight="1">
      <c r="A27" s="38">
        <v>23.0</v>
      </c>
      <c r="B27" s="47" t="s">
        <v>421</v>
      </c>
      <c r="C27" s="26" t="s">
        <v>80</v>
      </c>
      <c r="D27" s="26" t="s">
        <v>16</v>
      </c>
      <c r="E27" s="34"/>
      <c r="F27" s="34"/>
      <c r="G27" s="38">
        <v>23.0</v>
      </c>
      <c r="H27" s="31" t="s">
        <v>422</v>
      </c>
      <c r="I27" s="26" t="s">
        <v>80</v>
      </c>
      <c r="J27" s="26" t="s">
        <v>22</v>
      </c>
      <c r="K27" s="34"/>
      <c r="L27" s="34"/>
      <c r="M27" s="38">
        <v>23.0</v>
      </c>
      <c r="N27" s="31" t="s">
        <v>423</v>
      </c>
      <c r="O27" s="26" t="s">
        <v>80</v>
      </c>
      <c r="P27" s="26" t="s">
        <v>19</v>
      </c>
      <c r="Q27" s="34"/>
      <c r="R27" s="34"/>
      <c r="S27" s="38">
        <v>23.0</v>
      </c>
      <c r="T27" s="27" t="s">
        <v>424</v>
      </c>
      <c r="U27" s="26" t="s">
        <v>80</v>
      </c>
      <c r="V27" s="26" t="s">
        <v>19</v>
      </c>
      <c r="W27" s="34"/>
    </row>
    <row r="28" ht="15.75" customHeight="1">
      <c r="A28" s="38">
        <v>24.0</v>
      </c>
      <c r="B28" s="27" t="s">
        <v>425</v>
      </c>
      <c r="C28" s="26" t="s">
        <v>80</v>
      </c>
      <c r="D28" s="26" t="s">
        <v>25</v>
      </c>
      <c r="E28" s="34"/>
      <c r="F28" s="34"/>
      <c r="G28" s="38">
        <v>24.0</v>
      </c>
      <c r="H28" s="34"/>
      <c r="I28" s="27"/>
      <c r="J28" s="27"/>
      <c r="K28" s="34"/>
      <c r="L28" s="34"/>
      <c r="M28" s="38">
        <v>24.0</v>
      </c>
      <c r="N28" s="31" t="s">
        <v>426</v>
      </c>
      <c r="O28" s="26" t="s">
        <v>80</v>
      </c>
      <c r="P28" s="26" t="s">
        <v>19</v>
      </c>
      <c r="Q28" s="34"/>
      <c r="R28" s="34"/>
      <c r="S28" s="38">
        <v>24.0</v>
      </c>
      <c r="T28" s="27" t="s">
        <v>427</v>
      </c>
      <c r="U28" s="26" t="s">
        <v>85</v>
      </c>
      <c r="V28" s="26" t="s">
        <v>25</v>
      </c>
      <c r="W28" s="34"/>
    </row>
    <row r="29" ht="15.75" customHeight="1">
      <c r="A29" s="38">
        <v>25.0</v>
      </c>
      <c r="B29" s="27"/>
      <c r="C29" s="27"/>
      <c r="D29" s="27"/>
      <c r="E29" s="34"/>
      <c r="F29" s="34"/>
      <c r="G29" s="38">
        <v>25.0</v>
      </c>
      <c r="H29" s="27"/>
      <c r="I29" s="27"/>
      <c r="J29" s="27"/>
      <c r="K29" s="34"/>
      <c r="L29" s="34"/>
      <c r="M29" s="38">
        <v>25.0</v>
      </c>
      <c r="N29" s="27"/>
      <c r="O29" s="27"/>
      <c r="P29" s="27"/>
      <c r="Q29" s="34"/>
      <c r="R29" s="34"/>
      <c r="S29" s="38">
        <v>25.0</v>
      </c>
      <c r="T29" s="27"/>
      <c r="U29" s="40"/>
      <c r="V29" s="27"/>
      <c r="W29" s="34"/>
    </row>
    <row r="30" ht="15.7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T30" s="34"/>
      <c r="U30" s="34"/>
      <c r="V30" s="34"/>
    </row>
    <row r="31" ht="15.75" customHeight="1">
      <c r="A31" s="34"/>
      <c r="B31" s="37" t="s">
        <v>229</v>
      </c>
      <c r="C31" s="37" t="str">
        <f>COUNTIF(C5:C29,"L")</f>
        <v>12</v>
      </c>
      <c r="D31" s="34"/>
      <c r="E31" s="34"/>
      <c r="F31" s="34"/>
      <c r="G31" s="34"/>
      <c r="H31" s="37" t="s">
        <v>229</v>
      </c>
      <c r="I31" s="37" t="str">
        <f>COUNTIF(I5:I29,"L")</f>
        <v>11</v>
      </c>
      <c r="J31" s="34"/>
      <c r="K31" s="34"/>
      <c r="L31" s="34"/>
      <c r="M31" s="34"/>
      <c r="N31" s="37" t="s">
        <v>229</v>
      </c>
      <c r="O31" s="37" t="str">
        <f>COUNTIF(O5:O29,"L")</f>
        <v>13</v>
      </c>
      <c r="P31" s="34"/>
      <c r="T31" s="37" t="s">
        <v>229</v>
      </c>
      <c r="U31" s="37" t="str">
        <f>COUNTIF(U5:U29,"L")</f>
        <v>12</v>
      </c>
      <c r="V31" s="34"/>
    </row>
    <row r="32" ht="15.75" customHeight="1">
      <c r="A32" s="34"/>
      <c r="B32" s="37" t="s">
        <v>230</v>
      </c>
      <c r="C32" s="37" t="str">
        <f>COUNTIF(C5:C29,"P")</f>
        <v>12</v>
      </c>
      <c r="D32" s="34"/>
      <c r="E32" s="34"/>
      <c r="F32" s="34"/>
      <c r="G32" s="34"/>
      <c r="H32" s="37" t="s">
        <v>230</v>
      </c>
      <c r="I32" s="37" t="str">
        <f>COUNTIF(I5:I29,"P")</f>
        <v>12</v>
      </c>
      <c r="J32" s="34"/>
      <c r="K32" s="34"/>
      <c r="L32" s="34"/>
      <c r="M32" s="34"/>
      <c r="N32" s="37" t="s">
        <v>230</v>
      </c>
      <c r="O32" s="37" t="str">
        <f>COUNTIF(O5:O29,"P")</f>
        <v>11</v>
      </c>
      <c r="P32" s="34"/>
      <c r="T32" s="37" t="s">
        <v>230</v>
      </c>
      <c r="U32" s="37" t="str">
        <f>COUNTIF(U5:U29,"P")</f>
        <v>12</v>
      </c>
      <c r="V32" s="34"/>
    </row>
    <row r="33" ht="15.75" customHeight="1">
      <c r="B33" s="37" t="s">
        <v>231</v>
      </c>
      <c r="C33" s="37" t="str">
        <f>SUM(C31:C32)</f>
        <v>24</v>
      </c>
      <c r="D33" s="34"/>
      <c r="H33" s="37" t="s">
        <v>231</v>
      </c>
      <c r="I33" s="37" t="str">
        <f>SUM(I31:I32)</f>
        <v>23</v>
      </c>
      <c r="N33" s="37" t="s">
        <v>231</v>
      </c>
      <c r="O33" s="37" t="str">
        <f>SUM(O31:O32)</f>
        <v>24</v>
      </c>
      <c r="T33" s="37" t="s">
        <v>231</v>
      </c>
      <c r="U33" s="37" t="str">
        <f>SUM(U31:U32)</f>
        <v>24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</sheetData>
  <autoFilter ref="$G$4:$J$29">
    <sortState ref="G4:J29">
      <sortCondition ref="H4:H29"/>
    </sortState>
  </autoFilter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29.71"/>
    <col customWidth="1" min="3" max="3" width="8.71"/>
    <col customWidth="1" min="4" max="4" width="18.0"/>
    <col customWidth="1" min="5" max="7" width="8.71"/>
    <col customWidth="1" min="8" max="8" width="28.43"/>
    <col customWidth="1" min="9" max="9" width="8.71"/>
    <col customWidth="1" min="10" max="10" width="18.86"/>
    <col customWidth="1" min="11" max="13" width="8.71"/>
    <col customWidth="1" min="14" max="14" width="33.86"/>
    <col customWidth="1" min="15" max="15" width="8.71"/>
    <col customWidth="1" min="16" max="16" width="15.43"/>
    <col customWidth="1" min="17" max="19" width="8.71"/>
    <col customWidth="1" min="20" max="20" width="34.43"/>
    <col customWidth="1" min="21" max="21" width="8.71"/>
    <col customWidth="1" min="22" max="22" width="17.43"/>
    <col customWidth="1" min="23" max="26" width="8.71"/>
  </cols>
  <sheetData>
    <row r="2">
      <c r="A2" s="23" t="s">
        <v>428</v>
      </c>
      <c r="B2" s="23"/>
      <c r="C2" s="23"/>
      <c r="D2" s="23"/>
      <c r="E2" s="23"/>
      <c r="F2" s="23"/>
      <c r="G2" s="23" t="s">
        <v>429</v>
      </c>
      <c r="H2" s="23"/>
      <c r="I2" s="23"/>
      <c r="J2" s="23"/>
      <c r="K2" s="23"/>
      <c r="L2" s="23"/>
      <c r="M2" s="23" t="s">
        <v>430</v>
      </c>
      <c r="N2" s="23"/>
      <c r="O2" s="23"/>
      <c r="P2" s="23"/>
      <c r="Q2" s="23"/>
      <c r="R2" s="23"/>
      <c r="S2" s="23" t="s">
        <v>431</v>
      </c>
      <c r="T2" s="23"/>
      <c r="U2" s="23"/>
      <c r="V2" s="23"/>
      <c r="W2" s="23"/>
      <c r="X2" s="23"/>
      <c r="Y2" s="23"/>
      <c r="Z2" s="23"/>
    </row>
    <row r="3" ht="15.0" customHeight="1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</row>
    <row r="4">
      <c r="A4" s="25" t="s">
        <v>74</v>
      </c>
      <c r="B4" s="25" t="s">
        <v>75</v>
      </c>
      <c r="C4" s="25" t="s">
        <v>76</v>
      </c>
      <c r="D4" s="25"/>
      <c r="E4" s="34"/>
      <c r="F4" s="34"/>
      <c r="G4" s="25" t="s">
        <v>74</v>
      </c>
      <c r="H4" s="25" t="s">
        <v>75</v>
      </c>
      <c r="I4" s="25" t="s">
        <v>76</v>
      </c>
      <c r="J4" s="25" t="s">
        <v>78</v>
      </c>
      <c r="K4" s="34"/>
      <c r="L4" s="34"/>
      <c r="M4" s="25" t="s">
        <v>74</v>
      </c>
      <c r="N4" s="25" t="s">
        <v>75</v>
      </c>
      <c r="O4" s="25" t="s">
        <v>76</v>
      </c>
      <c r="P4" s="25" t="s">
        <v>78</v>
      </c>
      <c r="Q4" s="34"/>
      <c r="R4" s="34"/>
      <c r="S4" s="25" t="s">
        <v>74</v>
      </c>
      <c r="T4" s="25" t="s">
        <v>75</v>
      </c>
      <c r="U4" s="25" t="s">
        <v>76</v>
      </c>
      <c r="V4" s="25" t="s">
        <v>78</v>
      </c>
      <c r="W4" s="34"/>
    </row>
    <row r="5" ht="15.75" customHeight="1">
      <c r="A5" s="48">
        <v>1.0</v>
      </c>
      <c r="B5" s="46" t="s">
        <v>432</v>
      </c>
      <c r="C5" s="49" t="s">
        <v>85</v>
      </c>
      <c r="D5" s="48" t="s">
        <v>28</v>
      </c>
      <c r="E5" s="50"/>
      <c r="F5" s="50"/>
      <c r="G5" s="48">
        <v>1.0</v>
      </c>
      <c r="H5" s="46" t="s">
        <v>433</v>
      </c>
      <c r="I5" s="48" t="s">
        <v>85</v>
      </c>
      <c r="J5" s="48" t="s">
        <v>37</v>
      </c>
      <c r="K5" s="50"/>
      <c r="L5" s="50"/>
      <c r="M5" s="48">
        <v>1.0</v>
      </c>
      <c r="N5" s="46" t="s">
        <v>434</v>
      </c>
      <c r="O5" s="49" t="s">
        <v>85</v>
      </c>
      <c r="P5" s="48" t="s">
        <v>31</v>
      </c>
      <c r="Q5" s="50"/>
      <c r="R5" s="50"/>
      <c r="S5" s="48">
        <v>1.0</v>
      </c>
      <c r="T5" s="46" t="s">
        <v>435</v>
      </c>
      <c r="U5" s="48" t="s">
        <v>80</v>
      </c>
      <c r="V5" s="48" t="s">
        <v>34</v>
      </c>
      <c r="W5" s="34"/>
    </row>
    <row r="6">
      <c r="A6" s="48">
        <v>2.0</v>
      </c>
      <c r="B6" s="46" t="s">
        <v>436</v>
      </c>
      <c r="C6" s="48" t="s">
        <v>80</v>
      </c>
      <c r="D6" s="48" t="s">
        <v>34</v>
      </c>
      <c r="E6" s="50"/>
      <c r="F6" s="50"/>
      <c r="G6" s="48">
        <v>2.0</v>
      </c>
      <c r="H6" s="46" t="s">
        <v>437</v>
      </c>
      <c r="I6" s="48" t="s">
        <v>85</v>
      </c>
      <c r="J6" s="48" t="s">
        <v>28</v>
      </c>
      <c r="K6" s="50"/>
      <c r="L6" s="50"/>
      <c r="M6" s="48">
        <v>2.0</v>
      </c>
      <c r="N6" s="46" t="s">
        <v>438</v>
      </c>
      <c r="O6" s="48" t="s">
        <v>80</v>
      </c>
      <c r="P6" s="48" t="s">
        <v>37</v>
      </c>
      <c r="Q6" s="50"/>
      <c r="R6" s="50"/>
      <c r="S6" s="48">
        <v>2.0</v>
      </c>
      <c r="T6" s="46" t="s">
        <v>439</v>
      </c>
      <c r="U6" s="48" t="s">
        <v>85</v>
      </c>
      <c r="V6" s="48" t="s">
        <v>34</v>
      </c>
      <c r="W6" s="34"/>
    </row>
    <row r="7">
      <c r="A7" s="48">
        <v>3.0</v>
      </c>
      <c r="B7" s="51" t="s">
        <v>440</v>
      </c>
      <c r="C7" s="48" t="s">
        <v>85</v>
      </c>
      <c r="D7" s="48" t="s">
        <v>31</v>
      </c>
      <c r="E7" s="50"/>
      <c r="F7" s="50"/>
      <c r="G7" s="48">
        <v>3.0</v>
      </c>
      <c r="H7" s="46" t="s">
        <v>441</v>
      </c>
      <c r="I7" s="48" t="s">
        <v>80</v>
      </c>
      <c r="J7" s="48" t="s">
        <v>34</v>
      </c>
      <c r="K7" s="50"/>
      <c r="L7" s="50"/>
      <c r="M7" s="48">
        <v>3.0</v>
      </c>
      <c r="N7" s="46" t="s">
        <v>442</v>
      </c>
      <c r="O7" s="48" t="s">
        <v>80</v>
      </c>
      <c r="P7" s="48" t="s">
        <v>28</v>
      </c>
      <c r="Q7" s="50"/>
      <c r="R7" s="50"/>
      <c r="S7" s="48">
        <v>3.0</v>
      </c>
      <c r="T7" s="52" t="s">
        <v>443</v>
      </c>
      <c r="U7" s="48" t="s">
        <v>85</v>
      </c>
      <c r="V7" s="48" t="s">
        <v>37</v>
      </c>
      <c r="W7" s="34"/>
    </row>
    <row r="8">
      <c r="A8" s="48">
        <v>4.0</v>
      </c>
      <c r="B8" s="46" t="s">
        <v>444</v>
      </c>
      <c r="C8" s="48" t="s">
        <v>80</v>
      </c>
      <c r="D8" s="48" t="s">
        <v>34</v>
      </c>
      <c r="E8" s="50"/>
      <c r="F8" s="50"/>
      <c r="G8" s="48">
        <v>4.0</v>
      </c>
      <c r="H8" s="46" t="s">
        <v>445</v>
      </c>
      <c r="I8" s="48" t="s">
        <v>80</v>
      </c>
      <c r="J8" s="48" t="s">
        <v>28</v>
      </c>
      <c r="K8" s="50"/>
      <c r="L8" s="50"/>
      <c r="M8" s="48">
        <v>4.0</v>
      </c>
      <c r="N8" s="46" t="s">
        <v>446</v>
      </c>
      <c r="O8" s="48" t="s">
        <v>80</v>
      </c>
      <c r="P8" s="48" t="s">
        <v>28</v>
      </c>
      <c r="Q8" s="50"/>
      <c r="R8" s="50"/>
      <c r="S8" s="48">
        <v>4.0</v>
      </c>
      <c r="T8" s="46" t="s">
        <v>447</v>
      </c>
      <c r="U8" s="48" t="s">
        <v>85</v>
      </c>
      <c r="V8" s="48" t="s">
        <v>34</v>
      </c>
      <c r="W8" s="34"/>
    </row>
    <row r="9">
      <c r="A9" s="48">
        <v>5.0</v>
      </c>
      <c r="B9" s="46" t="s">
        <v>448</v>
      </c>
      <c r="C9" s="48" t="s">
        <v>80</v>
      </c>
      <c r="D9" s="48" t="s">
        <v>37</v>
      </c>
      <c r="E9" s="50"/>
      <c r="F9" s="50"/>
      <c r="G9" s="48">
        <v>5.0</v>
      </c>
      <c r="H9" s="46" t="s">
        <v>449</v>
      </c>
      <c r="I9" s="48" t="s">
        <v>80</v>
      </c>
      <c r="J9" s="48" t="s">
        <v>31</v>
      </c>
      <c r="K9" s="50"/>
      <c r="L9" s="50"/>
      <c r="M9" s="48">
        <v>5.0</v>
      </c>
      <c r="N9" s="46" t="s">
        <v>450</v>
      </c>
      <c r="O9" s="48" t="s">
        <v>80</v>
      </c>
      <c r="P9" s="48" t="s">
        <v>28</v>
      </c>
      <c r="Q9" s="50"/>
      <c r="R9" s="50"/>
      <c r="S9" s="48">
        <v>5.0</v>
      </c>
      <c r="T9" s="46" t="s">
        <v>451</v>
      </c>
      <c r="U9" s="48" t="s">
        <v>85</v>
      </c>
      <c r="V9" s="48" t="s">
        <v>34</v>
      </c>
      <c r="W9" s="34"/>
    </row>
    <row r="10">
      <c r="A10" s="48">
        <v>6.0</v>
      </c>
      <c r="B10" s="50" t="s">
        <v>452</v>
      </c>
      <c r="C10" s="48" t="s">
        <v>80</v>
      </c>
      <c r="D10" s="48" t="s">
        <v>37</v>
      </c>
      <c r="E10" s="50"/>
      <c r="F10" s="50"/>
      <c r="G10" s="48">
        <v>6.0</v>
      </c>
      <c r="H10" s="46" t="s">
        <v>453</v>
      </c>
      <c r="I10" s="48" t="s">
        <v>85</v>
      </c>
      <c r="J10" s="48" t="s">
        <v>31</v>
      </c>
      <c r="K10" s="50"/>
      <c r="L10" s="50"/>
      <c r="M10" s="48">
        <v>6.0</v>
      </c>
      <c r="N10" s="46" t="s">
        <v>454</v>
      </c>
      <c r="O10" s="48" t="s">
        <v>80</v>
      </c>
      <c r="P10" s="48" t="s">
        <v>37</v>
      </c>
      <c r="Q10" s="50"/>
      <c r="R10" s="50"/>
      <c r="S10" s="48">
        <v>6.0</v>
      </c>
      <c r="T10" s="46" t="s">
        <v>455</v>
      </c>
      <c r="U10" s="48" t="s">
        <v>85</v>
      </c>
      <c r="V10" s="48" t="s">
        <v>31</v>
      </c>
      <c r="W10" s="34"/>
    </row>
    <row r="11">
      <c r="A11" s="48">
        <v>7.0</v>
      </c>
      <c r="B11" s="46" t="s">
        <v>456</v>
      </c>
      <c r="C11" s="48" t="s">
        <v>80</v>
      </c>
      <c r="D11" s="48" t="s">
        <v>34</v>
      </c>
      <c r="E11" s="50"/>
      <c r="F11" s="50"/>
      <c r="G11" s="48">
        <v>7.0</v>
      </c>
      <c r="H11" s="46" t="s">
        <v>457</v>
      </c>
      <c r="I11" s="48" t="s">
        <v>85</v>
      </c>
      <c r="J11" s="48" t="s">
        <v>34</v>
      </c>
      <c r="K11" s="50"/>
      <c r="L11" s="50"/>
      <c r="M11" s="48">
        <v>7.0</v>
      </c>
      <c r="N11" s="46" t="s">
        <v>458</v>
      </c>
      <c r="O11" s="48" t="s">
        <v>80</v>
      </c>
      <c r="P11" s="48" t="s">
        <v>37</v>
      </c>
      <c r="Q11" s="50"/>
      <c r="R11" s="50"/>
      <c r="S11" s="48">
        <v>7.0</v>
      </c>
      <c r="T11" s="46" t="s">
        <v>459</v>
      </c>
      <c r="U11" s="48" t="s">
        <v>80</v>
      </c>
      <c r="V11" s="48" t="s">
        <v>34</v>
      </c>
      <c r="W11" s="34"/>
    </row>
    <row r="12">
      <c r="A12" s="48">
        <v>8.0</v>
      </c>
      <c r="B12" s="52" t="s">
        <v>460</v>
      </c>
      <c r="C12" s="48" t="s">
        <v>85</v>
      </c>
      <c r="D12" s="48" t="s">
        <v>28</v>
      </c>
      <c r="E12" s="50"/>
      <c r="F12" s="50"/>
      <c r="G12" s="48">
        <v>8.0</v>
      </c>
      <c r="H12" s="46" t="s">
        <v>461</v>
      </c>
      <c r="I12" s="48" t="s">
        <v>85</v>
      </c>
      <c r="J12" s="48" t="s">
        <v>28</v>
      </c>
      <c r="K12" s="50"/>
      <c r="L12" s="50"/>
      <c r="M12" s="48">
        <v>8.0</v>
      </c>
      <c r="N12" s="46" t="s">
        <v>462</v>
      </c>
      <c r="O12" s="48" t="s">
        <v>85</v>
      </c>
      <c r="P12" s="48" t="s">
        <v>34</v>
      </c>
      <c r="Q12" s="50"/>
      <c r="R12" s="50"/>
      <c r="S12" s="48">
        <v>8.0</v>
      </c>
      <c r="T12" s="46" t="s">
        <v>463</v>
      </c>
      <c r="U12" s="48" t="s">
        <v>80</v>
      </c>
      <c r="V12" s="48" t="s">
        <v>37</v>
      </c>
      <c r="W12" s="34"/>
    </row>
    <row r="13">
      <c r="A13" s="48">
        <v>9.0</v>
      </c>
      <c r="B13" s="52" t="s">
        <v>464</v>
      </c>
      <c r="C13" s="48" t="s">
        <v>80</v>
      </c>
      <c r="D13" s="48" t="s">
        <v>28</v>
      </c>
      <c r="E13" s="50"/>
      <c r="F13" s="50"/>
      <c r="G13" s="48">
        <v>9.0</v>
      </c>
      <c r="H13" s="50" t="s">
        <v>465</v>
      </c>
      <c r="I13" s="48" t="s">
        <v>80</v>
      </c>
      <c r="J13" s="48" t="s">
        <v>34</v>
      </c>
      <c r="K13" s="50"/>
      <c r="L13" s="50"/>
      <c r="M13" s="48">
        <v>9.0</v>
      </c>
      <c r="N13" s="46" t="s">
        <v>466</v>
      </c>
      <c r="O13" s="48" t="s">
        <v>80</v>
      </c>
      <c r="P13" s="48" t="s">
        <v>34</v>
      </c>
      <c r="Q13" s="50"/>
      <c r="R13" s="50"/>
      <c r="S13" s="48">
        <v>9.0</v>
      </c>
      <c r="T13" s="46" t="s">
        <v>467</v>
      </c>
      <c r="U13" s="48" t="s">
        <v>80</v>
      </c>
      <c r="V13" s="48" t="s">
        <v>28</v>
      </c>
      <c r="W13" s="34"/>
    </row>
    <row r="14">
      <c r="A14" s="48">
        <v>10.0</v>
      </c>
      <c r="B14" s="52" t="s">
        <v>468</v>
      </c>
      <c r="C14" s="48" t="s">
        <v>80</v>
      </c>
      <c r="D14" s="48" t="s">
        <v>34</v>
      </c>
      <c r="E14" s="50"/>
      <c r="F14" s="50"/>
      <c r="G14" s="48">
        <v>10.0</v>
      </c>
      <c r="H14" s="53" t="s">
        <v>469</v>
      </c>
      <c r="I14" s="48" t="s">
        <v>80</v>
      </c>
      <c r="J14" s="48" t="s">
        <v>31</v>
      </c>
      <c r="K14" s="50"/>
      <c r="L14" s="50"/>
      <c r="M14" s="48">
        <v>10.0</v>
      </c>
      <c r="N14" s="46" t="s">
        <v>470</v>
      </c>
      <c r="O14" s="48" t="s">
        <v>80</v>
      </c>
      <c r="P14" s="48" t="s">
        <v>34</v>
      </c>
      <c r="Q14" s="50"/>
      <c r="R14" s="50"/>
      <c r="S14" s="48">
        <v>10.0</v>
      </c>
      <c r="T14" s="51" t="s">
        <v>471</v>
      </c>
      <c r="U14" s="48" t="s">
        <v>85</v>
      </c>
      <c r="V14" s="48" t="s">
        <v>37</v>
      </c>
      <c r="W14" s="34"/>
    </row>
    <row r="15">
      <c r="A15" s="48">
        <v>11.0</v>
      </c>
      <c r="B15" s="51" t="s">
        <v>472</v>
      </c>
      <c r="C15" s="48" t="s">
        <v>85</v>
      </c>
      <c r="D15" s="48" t="s">
        <v>31</v>
      </c>
      <c r="E15" s="50"/>
      <c r="F15" s="50"/>
      <c r="G15" s="48">
        <v>11.0</v>
      </c>
      <c r="H15" s="51" t="s">
        <v>473</v>
      </c>
      <c r="I15" s="48" t="s">
        <v>85</v>
      </c>
      <c r="J15" s="48" t="s">
        <v>37</v>
      </c>
      <c r="K15" s="50"/>
      <c r="L15" s="50"/>
      <c r="M15" s="48">
        <v>11.0</v>
      </c>
      <c r="N15" s="46" t="s">
        <v>474</v>
      </c>
      <c r="O15" s="48" t="s">
        <v>80</v>
      </c>
      <c r="P15" s="48" t="s">
        <v>37</v>
      </c>
      <c r="Q15" s="50"/>
      <c r="R15" s="50"/>
      <c r="S15" s="48">
        <v>11.0</v>
      </c>
      <c r="T15" s="46" t="s">
        <v>475</v>
      </c>
      <c r="U15" s="54" t="s">
        <v>80</v>
      </c>
      <c r="V15" s="48" t="s">
        <v>28</v>
      </c>
      <c r="W15" s="34"/>
    </row>
    <row r="16">
      <c r="A16" s="48">
        <v>12.0</v>
      </c>
      <c r="B16" s="46" t="s">
        <v>476</v>
      </c>
      <c r="C16" s="54" t="s">
        <v>85</v>
      </c>
      <c r="D16" s="48" t="s">
        <v>28</v>
      </c>
      <c r="E16" s="50"/>
      <c r="F16" s="50"/>
      <c r="G16" s="48">
        <v>12.0</v>
      </c>
      <c r="H16" s="46" t="s">
        <v>477</v>
      </c>
      <c r="I16" s="54" t="s">
        <v>80</v>
      </c>
      <c r="J16" s="48" t="s">
        <v>31</v>
      </c>
      <c r="K16" s="50"/>
      <c r="L16" s="50"/>
      <c r="M16" s="48">
        <v>12.0</v>
      </c>
      <c r="N16" s="46" t="s">
        <v>478</v>
      </c>
      <c r="O16" s="54" t="s">
        <v>85</v>
      </c>
      <c r="P16" s="48" t="s">
        <v>34</v>
      </c>
      <c r="Q16" s="50"/>
      <c r="R16" s="50"/>
      <c r="S16" s="48">
        <v>12.0</v>
      </c>
      <c r="T16" s="46" t="s">
        <v>479</v>
      </c>
      <c r="U16" s="54" t="s">
        <v>80</v>
      </c>
      <c r="V16" s="48" t="s">
        <v>37</v>
      </c>
      <c r="W16" s="34"/>
    </row>
    <row r="17">
      <c r="A17" s="48">
        <v>13.0</v>
      </c>
      <c r="B17" s="46" t="s">
        <v>480</v>
      </c>
      <c r="C17" s="54" t="s">
        <v>85</v>
      </c>
      <c r="D17" s="48" t="s">
        <v>28</v>
      </c>
      <c r="E17" s="50"/>
      <c r="F17" s="50"/>
      <c r="G17" s="48">
        <v>13.0</v>
      </c>
      <c r="H17" s="52" t="s">
        <v>481</v>
      </c>
      <c r="I17" s="54" t="s">
        <v>85</v>
      </c>
      <c r="J17" s="48" t="s">
        <v>28</v>
      </c>
      <c r="K17" s="50"/>
      <c r="L17" s="50"/>
      <c r="M17" s="48">
        <v>13.0</v>
      </c>
      <c r="N17" s="46" t="s">
        <v>482</v>
      </c>
      <c r="O17" s="54" t="s">
        <v>85</v>
      </c>
      <c r="P17" s="48" t="s">
        <v>28</v>
      </c>
      <c r="Q17" s="50"/>
      <c r="R17" s="50"/>
      <c r="S17" s="48">
        <v>13.0</v>
      </c>
      <c r="T17" s="52" t="s">
        <v>483</v>
      </c>
      <c r="U17" s="54" t="s">
        <v>80</v>
      </c>
      <c r="V17" s="48" t="s">
        <v>31</v>
      </c>
      <c r="W17" s="34"/>
    </row>
    <row r="18">
      <c r="A18" s="48">
        <v>14.0</v>
      </c>
      <c r="B18" s="46" t="s">
        <v>484</v>
      </c>
      <c r="C18" s="54" t="s">
        <v>85</v>
      </c>
      <c r="D18" s="48" t="s">
        <v>37</v>
      </c>
      <c r="E18" s="50"/>
      <c r="F18" s="50"/>
      <c r="G18" s="48">
        <v>14.0</v>
      </c>
      <c r="H18" s="46" t="s">
        <v>485</v>
      </c>
      <c r="I18" s="54" t="s">
        <v>80</v>
      </c>
      <c r="J18" s="48" t="s">
        <v>28</v>
      </c>
      <c r="K18" s="50"/>
      <c r="L18" s="50"/>
      <c r="M18" s="48">
        <v>14.0</v>
      </c>
      <c r="N18" s="46" t="s">
        <v>486</v>
      </c>
      <c r="O18" s="54" t="s">
        <v>80</v>
      </c>
      <c r="P18" s="48" t="s">
        <v>31</v>
      </c>
      <c r="Q18" s="50"/>
      <c r="R18" s="50"/>
      <c r="S18" s="48">
        <v>14.0</v>
      </c>
      <c r="T18" s="46" t="s">
        <v>487</v>
      </c>
      <c r="U18" s="54" t="s">
        <v>80</v>
      </c>
      <c r="V18" s="48" t="s">
        <v>31</v>
      </c>
      <c r="W18" s="34"/>
    </row>
    <row r="19">
      <c r="A19" s="48">
        <v>15.0</v>
      </c>
      <c r="B19" s="46" t="s">
        <v>488</v>
      </c>
      <c r="C19" s="54" t="s">
        <v>80</v>
      </c>
      <c r="D19" s="48" t="s">
        <v>31</v>
      </c>
      <c r="E19" s="50"/>
      <c r="F19" s="50"/>
      <c r="G19" s="48">
        <v>15.0</v>
      </c>
      <c r="H19" s="46" t="s">
        <v>489</v>
      </c>
      <c r="I19" s="54" t="s">
        <v>85</v>
      </c>
      <c r="J19" s="48" t="s">
        <v>34</v>
      </c>
      <c r="K19" s="50"/>
      <c r="L19" s="50"/>
      <c r="M19" s="48">
        <v>15.0</v>
      </c>
      <c r="N19" s="52" t="s">
        <v>490</v>
      </c>
      <c r="O19" s="54" t="s">
        <v>85</v>
      </c>
      <c r="P19" s="48" t="s">
        <v>34</v>
      </c>
      <c r="Q19" s="50"/>
      <c r="R19" s="50"/>
      <c r="S19" s="48">
        <v>15.0</v>
      </c>
      <c r="T19" s="46" t="s">
        <v>491</v>
      </c>
      <c r="U19" s="54" t="s">
        <v>80</v>
      </c>
      <c r="V19" s="48" t="s">
        <v>31</v>
      </c>
      <c r="W19" s="34"/>
    </row>
    <row r="20">
      <c r="A20" s="48">
        <v>16.0</v>
      </c>
      <c r="B20" s="46" t="s">
        <v>492</v>
      </c>
      <c r="C20" s="54" t="s">
        <v>80</v>
      </c>
      <c r="D20" s="48" t="s">
        <v>28</v>
      </c>
      <c r="E20" s="50"/>
      <c r="F20" s="50"/>
      <c r="G20" s="48">
        <v>16.0</v>
      </c>
      <c r="H20" s="46" t="s">
        <v>493</v>
      </c>
      <c r="I20" s="54" t="s">
        <v>85</v>
      </c>
      <c r="J20" s="48" t="s">
        <v>34</v>
      </c>
      <c r="K20" s="50"/>
      <c r="L20" s="50"/>
      <c r="M20" s="48">
        <v>16.0</v>
      </c>
      <c r="N20" s="46" t="s">
        <v>494</v>
      </c>
      <c r="O20" s="54" t="s">
        <v>85</v>
      </c>
      <c r="P20" s="48" t="s">
        <v>28</v>
      </c>
      <c r="Q20" s="50"/>
      <c r="R20" s="50"/>
      <c r="S20" s="48">
        <v>16.0</v>
      </c>
      <c r="T20" s="46" t="s">
        <v>495</v>
      </c>
      <c r="U20" s="54" t="s">
        <v>85</v>
      </c>
      <c r="V20" s="48" t="s">
        <v>34</v>
      </c>
      <c r="W20" s="34"/>
    </row>
    <row r="21" ht="15.75" customHeight="1">
      <c r="A21" s="48">
        <v>17.0</v>
      </c>
      <c r="B21" s="46" t="s">
        <v>496</v>
      </c>
      <c r="C21" s="54" t="s">
        <v>85</v>
      </c>
      <c r="D21" s="48" t="s">
        <v>37</v>
      </c>
      <c r="E21" s="50"/>
      <c r="F21" s="50"/>
      <c r="G21" s="48">
        <v>17.0</v>
      </c>
      <c r="H21" s="46" t="s">
        <v>497</v>
      </c>
      <c r="I21" s="54" t="s">
        <v>85</v>
      </c>
      <c r="J21" s="48" t="s">
        <v>31</v>
      </c>
      <c r="K21" s="50"/>
      <c r="L21" s="50"/>
      <c r="M21" s="48">
        <v>17.0</v>
      </c>
      <c r="N21" s="46" t="s">
        <v>498</v>
      </c>
      <c r="O21" s="54" t="s">
        <v>85</v>
      </c>
      <c r="P21" s="48" t="s">
        <v>37</v>
      </c>
      <c r="Q21" s="50"/>
      <c r="R21" s="50"/>
      <c r="S21" s="48">
        <v>17.0</v>
      </c>
      <c r="T21" s="46" t="s">
        <v>499</v>
      </c>
      <c r="U21" s="54" t="s">
        <v>85</v>
      </c>
      <c r="V21" s="48" t="s">
        <v>31</v>
      </c>
      <c r="W21" s="34"/>
    </row>
    <row r="22" ht="15.75" customHeight="1">
      <c r="A22" s="48">
        <v>18.0</v>
      </c>
      <c r="B22" s="46" t="s">
        <v>500</v>
      </c>
      <c r="C22" s="54" t="s">
        <v>80</v>
      </c>
      <c r="D22" s="48" t="s">
        <v>37</v>
      </c>
      <c r="E22" s="50"/>
      <c r="F22" s="50"/>
      <c r="G22" s="48">
        <v>18.0</v>
      </c>
      <c r="H22" s="46" t="s">
        <v>501</v>
      </c>
      <c r="I22" s="54" t="s">
        <v>85</v>
      </c>
      <c r="J22" s="48" t="s">
        <v>37</v>
      </c>
      <c r="K22" s="50"/>
      <c r="L22" s="50"/>
      <c r="M22" s="48">
        <v>18.0</v>
      </c>
      <c r="N22" s="46" t="s">
        <v>502</v>
      </c>
      <c r="O22" s="48" t="s">
        <v>85</v>
      </c>
      <c r="P22" s="48" t="s">
        <v>34</v>
      </c>
      <c r="Q22" s="50"/>
      <c r="R22" s="50"/>
      <c r="S22" s="48">
        <v>18.0</v>
      </c>
      <c r="T22" s="46" t="s">
        <v>503</v>
      </c>
      <c r="U22" s="54" t="s">
        <v>85</v>
      </c>
      <c r="V22" s="48" t="s">
        <v>28</v>
      </c>
      <c r="W22" s="34"/>
    </row>
    <row r="23" ht="15.75" customHeight="1">
      <c r="A23" s="48">
        <v>19.0</v>
      </c>
      <c r="B23" s="46" t="s">
        <v>504</v>
      </c>
      <c r="C23" s="54" t="s">
        <v>85</v>
      </c>
      <c r="D23" s="48" t="s">
        <v>31</v>
      </c>
      <c r="E23" s="50"/>
      <c r="F23" s="50"/>
      <c r="G23" s="48">
        <v>19.0</v>
      </c>
      <c r="H23" s="46" t="s">
        <v>505</v>
      </c>
      <c r="I23" s="54" t="s">
        <v>80</v>
      </c>
      <c r="J23" s="48" t="s">
        <v>31</v>
      </c>
      <c r="K23" s="50"/>
      <c r="L23" s="50"/>
      <c r="M23" s="48">
        <v>19.0</v>
      </c>
      <c r="N23" s="52" t="s">
        <v>506</v>
      </c>
      <c r="O23" s="48" t="s">
        <v>85</v>
      </c>
      <c r="P23" s="48" t="s">
        <v>37</v>
      </c>
      <c r="Q23" s="50"/>
      <c r="R23" s="50"/>
      <c r="S23" s="48">
        <v>19.0</v>
      </c>
      <c r="T23" s="52" t="s">
        <v>507</v>
      </c>
      <c r="U23" s="48" t="s">
        <v>85</v>
      </c>
      <c r="V23" s="48" t="s">
        <v>28</v>
      </c>
      <c r="W23" s="34"/>
    </row>
    <row r="24" ht="15.75" customHeight="1">
      <c r="A24" s="48">
        <v>20.0</v>
      </c>
      <c r="B24" s="52" t="s">
        <v>508</v>
      </c>
      <c r="C24" s="48" t="s">
        <v>85</v>
      </c>
      <c r="D24" s="48" t="s">
        <v>34</v>
      </c>
      <c r="E24" s="50"/>
      <c r="F24" s="50"/>
      <c r="G24" s="48">
        <v>20.0</v>
      </c>
      <c r="H24" s="52" t="s">
        <v>509</v>
      </c>
      <c r="I24" s="48" t="s">
        <v>80</v>
      </c>
      <c r="J24" s="48" t="s">
        <v>31</v>
      </c>
      <c r="K24" s="50"/>
      <c r="L24" s="50"/>
      <c r="M24" s="48">
        <v>20.0</v>
      </c>
      <c r="N24" s="52" t="s">
        <v>510</v>
      </c>
      <c r="O24" s="48" t="s">
        <v>80</v>
      </c>
      <c r="P24" s="48" t="s">
        <v>28</v>
      </c>
      <c r="Q24" s="50"/>
      <c r="R24" s="50"/>
      <c r="S24" s="48">
        <v>20.0</v>
      </c>
      <c r="T24" s="46" t="s">
        <v>511</v>
      </c>
      <c r="U24" s="48" t="s">
        <v>85</v>
      </c>
      <c r="V24" s="48" t="s">
        <v>28</v>
      </c>
      <c r="W24" s="34"/>
    </row>
    <row r="25" ht="15.75" customHeight="1">
      <c r="A25" s="48">
        <v>21.0</v>
      </c>
      <c r="B25" s="52" t="s">
        <v>512</v>
      </c>
      <c r="C25" s="48" t="s">
        <v>85</v>
      </c>
      <c r="D25" s="48" t="s">
        <v>37</v>
      </c>
      <c r="E25" s="50"/>
      <c r="F25" s="50"/>
      <c r="G25" s="48">
        <v>21.0</v>
      </c>
      <c r="H25" s="52" t="s">
        <v>513</v>
      </c>
      <c r="I25" s="48" t="s">
        <v>80</v>
      </c>
      <c r="J25" s="48" t="s">
        <v>28</v>
      </c>
      <c r="K25" s="50"/>
      <c r="L25" s="50"/>
      <c r="M25" s="48">
        <v>21.0</v>
      </c>
      <c r="N25" s="46" t="s">
        <v>514</v>
      </c>
      <c r="O25" s="48" t="s">
        <v>80</v>
      </c>
      <c r="P25" s="48" t="s">
        <v>34</v>
      </c>
      <c r="Q25" s="50"/>
      <c r="R25" s="50"/>
      <c r="S25" s="48">
        <v>21.0</v>
      </c>
      <c r="T25" s="52" t="s">
        <v>515</v>
      </c>
      <c r="U25" s="48" t="s">
        <v>80</v>
      </c>
      <c r="V25" s="48" t="s">
        <v>28</v>
      </c>
      <c r="W25" s="34"/>
    </row>
    <row r="26" ht="15.75" customHeight="1">
      <c r="A26" s="48">
        <v>22.0</v>
      </c>
      <c r="B26" s="46" t="s">
        <v>516</v>
      </c>
      <c r="C26" s="48" t="s">
        <v>80</v>
      </c>
      <c r="D26" s="48" t="s">
        <v>31</v>
      </c>
      <c r="E26" s="50"/>
      <c r="F26" s="50"/>
      <c r="G26" s="48">
        <v>22.0</v>
      </c>
      <c r="H26" s="52" t="s">
        <v>517</v>
      </c>
      <c r="I26" s="48" t="s">
        <v>80</v>
      </c>
      <c r="J26" s="48" t="s">
        <v>37</v>
      </c>
      <c r="K26" s="50"/>
      <c r="L26" s="50"/>
      <c r="M26" s="48">
        <v>22.0</v>
      </c>
      <c r="N26" s="52" t="s">
        <v>518</v>
      </c>
      <c r="O26" s="48" t="s">
        <v>85</v>
      </c>
      <c r="P26" s="48" t="s">
        <v>31</v>
      </c>
      <c r="Q26" s="50"/>
      <c r="R26" s="50"/>
      <c r="S26" s="48">
        <v>22.0</v>
      </c>
      <c r="T26" s="52" t="s">
        <v>519</v>
      </c>
      <c r="U26" s="48" t="s">
        <v>80</v>
      </c>
      <c r="V26" s="48" t="s">
        <v>37</v>
      </c>
      <c r="W26" s="34"/>
    </row>
    <row r="27" ht="15.75" customHeight="1">
      <c r="A27" s="48">
        <v>23.0</v>
      </c>
      <c r="B27" s="52" t="s">
        <v>520</v>
      </c>
      <c r="C27" s="48" t="s">
        <v>80</v>
      </c>
      <c r="D27" s="48" t="s">
        <v>34</v>
      </c>
      <c r="E27" s="50"/>
      <c r="F27" s="50"/>
      <c r="G27" s="48">
        <v>23.0</v>
      </c>
      <c r="H27" s="52" t="s">
        <v>521</v>
      </c>
      <c r="I27" s="48" t="s">
        <v>80</v>
      </c>
      <c r="J27" s="48" t="s">
        <v>37</v>
      </c>
      <c r="K27" s="50"/>
      <c r="L27" s="50"/>
      <c r="M27" s="48">
        <v>23.0</v>
      </c>
      <c r="N27" s="52" t="s">
        <v>522</v>
      </c>
      <c r="O27" s="48" t="s">
        <v>85</v>
      </c>
      <c r="P27" s="48" t="s">
        <v>37</v>
      </c>
      <c r="Q27" s="50"/>
      <c r="R27" s="50"/>
      <c r="S27" s="48">
        <v>23.0</v>
      </c>
      <c r="T27" s="52" t="s">
        <v>523</v>
      </c>
      <c r="U27" s="48" t="s">
        <v>80</v>
      </c>
      <c r="V27" s="48" t="s">
        <v>34</v>
      </c>
      <c r="W27" s="34"/>
    </row>
    <row r="28" ht="15.75" customHeight="1">
      <c r="A28" s="48">
        <v>24.0</v>
      </c>
      <c r="B28" s="52" t="s">
        <v>524</v>
      </c>
      <c r="C28" s="48" t="s">
        <v>85</v>
      </c>
      <c r="D28" s="48" t="s">
        <v>31</v>
      </c>
      <c r="E28" s="50"/>
      <c r="F28" s="50"/>
      <c r="G28" s="48">
        <v>24.0</v>
      </c>
      <c r="H28" s="46" t="s">
        <v>525</v>
      </c>
      <c r="I28" s="48" t="s">
        <v>80</v>
      </c>
      <c r="J28" s="48" t="s">
        <v>37</v>
      </c>
      <c r="K28" s="50"/>
      <c r="L28" s="50"/>
      <c r="M28" s="48">
        <v>24.0</v>
      </c>
      <c r="N28" s="52"/>
      <c r="O28" s="46"/>
      <c r="P28" s="46"/>
      <c r="Q28" s="50"/>
      <c r="R28" s="50"/>
      <c r="S28" s="48">
        <v>24.0</v>
      </c>
      <c r="T28" s="52" t="s">
        <v>526</v>
      </c>
      <c r="U28" s="48" t="s">
        <v>80</v>
      </c>
      <c r="V28" s="48" t="s">
        <v>31</v>
      </c>
      <c r="W28" s="34"/>
    </row>
    <row r="29" ht="15.75" customHeight="1">
      <c r="A29" s="48">
        <v>25.0</v>
      </c>
      <c r="B29" s="46"/>
      <c r="C29" s="54"/>
      <c r="D29" s="48"/>
      <c r="E29" s="50"/>
      <c r="F29" s="50"/>
      <c r="G29" s="48">
        <v>25.0</v>
      </c>
      <c r="H29" s="52"/>
      <c r="I29" s="46"/>
      <c r="J29" s="46"/>
      <c r="K29" s="50"/>
      <c r="L29" s="50"/>
      <c r="M29" s="48">
        <v>25.0</v>
      </c>
      <c r="N29" s="52"/>
      <c r="O29" s="46"/>
      <c r="P29" s="46"/>
      <c r="Q29" s="50"/>
      <c r="R29" s="50"/>
      <c r="S29" s="48">
        <v>25.0</v>
      </c>
      <c r="T29" s="52"/>
      <c r="U29" s="46"/>
      <c r="V29" s="46"/>
      <c r="W29" s="34"/>
    </row>
    <row r="30" ht="15.7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</row>
    <row r="31" ht="15.75" customHeight="1">
      <c r="A31" s="34"/>
      <c r="B31" s="37" t="s">
        <v>229</v>
      </c>
      <c r="C31" s="37" t="str">
        <f>COUNTIF(C5:C29,"L")</f>
        <v>12</v>
      </c>
      <c r="D31" s="34"/>
      <c r="E31" s="34"/>
      <c r="F31" s="34"/>
      <c r="G31" s="34"/>
      <c r="H31" s="37" t="s">
        <v>229</v>
      </c>
      <c r="I31" s="37" t="str">
        <f>COUNTIF(I5:I29,"L")</f>
        <v>11</v>
      </c>
      <c r="J31" s="34"/>
      <c r="K31" s="34"/>
      <c r="L31" s="34"/>
      <c r="M31" s="34"/>
      <c r="N31" s="37" t="s">
        <v>229</v>
      </c>
      <c r="O31" s="37" t="str">
        <f>COUNTIF(O5:O29,"L")</f>
        <v>11</v>
      </c>
      <c r="P31" s="34"/>
      <c r="Q31" s="34"/>
      <c r="R31" s="34"/>
      <c r="S31" s="34"/>
      <c r="T31" s="37" t="s">
        <v>229</v>
      </c>
      <c r="U31" s="37" t="str">
        <f>COUNTIF(U5:U29,"L")</f>
        <v>11</v>
      </c>
      <c r="V31" s="34"/>
      <c r="W31" s="34"/>
    </row>
    <row r="32" ht="15.75" customHeight="1">
      <c r="A32" s="34"/>
      <c r="B32" s="37" t="s">
        <v>230</v>
      </c>
      <c r="C32" s="37" t="str">
        <f>COUNTIF(C5:C29,"P")</f>
        <v>12</v>
      </c>
      <c r="D32" s="34"/>
      <c r="E32" s="55"/>
      <c r="F32" s="34"/>
      <c r="G32" s="34"/>
      <c r="H32" s="37" t="s">
        <v>230</v>
      </c>
      <c r="I32" s="37" t="str">
        <f>COUNTIF(I5:I29,"P")</f>
        <v>13</v>
      </c>
      <c r="J32" s="34"/>
      <c r="K32" s="34"/>
      <c r="L32" s="34"/>
      <c r="M32" s="34"/>
      <c r="N32" s="37" t="s">
        <v>230</v>
      </c>
      <c r="O32" s="37" t="str">
        <f>COUNTIF(O5:O29,"P")</f>
        <v>12</v>
      </c>
      <c r="P32" s="34"/>
      <c r="Q32" s="34"/>
      <c r="R32" s="34"/>
      <c r="S32" s="34"/>
      <c r="T32" s="37" t="s">
        <v>230</v>
      </c>
      <c r="U32" s="37" t="str">
        <f>COUNTIF(U5:U29,"P")</f>
        <v>13</v>
      </c>
      <c r="V32" s="34"/>
      <c r="W32" s="34"/>
    </row>
    <row r="33" ht="15.75" customHeight="1">
      <c r="B33" s="37" t="s">
        <v>231</v>
      </c>
      <c r="C33" s="37" t="str">
        <f>SUM(C31:C32)</f>
        <v>24</v>
      </c>
      <c r="H33" s="37" t="s">
        <v>231</v>
      </c>
      <c r="I33" s="37" t="str">
        <f>SUM(I31:I32)</f>
        <v>24</v>
      </c>
      <c r="N33" s="37" t="s">
        <v>231</v>
      </c>
      <c r="O33" s="37" t="str">
        <f>SUM(O31:O32)</f>
        <v>23</v>
      </c>
      <c r="T33" s="37" t="s">
        <v>231</v>
      </c>
      <c r="U33" s="37" t="str">
        <f>SUM(U31:U32)</f>
        <v>24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</sheetData>
  <autoFilter ref="$A$4:$D$29">
    <sortState ref="A4:D29">
      <sortCondition ref="B4:B29"/>
    </sortState>
  </autoFilter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30.71"/>
    <col customWidth="1" min="3" max="6" width="14.43"/>
    <col customWidth="1" min="7" max="7" width="3.86"/>
    <col customWidth="1" min="8" max="8" width="34.86"/>
    <col customWidth="1" min="13" max="13" width="3.86"/>
    <col customWidth="1" min="14" max="14" width="28.71"/>
  </cols>
  <sheetData>
    <row r="2">
      <c r="A2" s="50"/>
      <c r="B2" s="50"/>
      <c r="C2" s="56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ht="15.0" customHeight="1">
      <c r="A3" s="57" t="s">
        <v>527</v>
      </c>
      <c r="C3" s="58"/>
      <c r="D3" s="57"/>
      <c r="E3" s="57"/>
      <c r="F3" s="57"/>
      <c r="G3" s="57" t="s">
        <v>528</v>
      </c>
      <c r="I3" s="57"/>
      <c r="J3" s="57"/>
      <c r="K3" s="57"/>
      <c r="L3" s="57"/>
      <c r="M3" s="57" t="s">
        <v>529</v>
      </c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>
      <c r="A4" s="50"/>
      <c r="B4" s="50"/>
      <c r="C4" s="56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>
      <c r="A5" s="59" t="s">
        <v>74</v>
      </c>
      <c r="B5" s="59" t="s">
        <v>75</v>
      </c>
      <c r="C5" s="59" t="s">
        <v>76</v>
      </c>
      <c r="D5" s="59" t="s">
        <v>78</v>
      </c>
      <c r="E5" s="50"/>
      <c r="F5" s="50"/>
      <c r="G5" s="59" t="s">
        <v>74</v>
      </c>
      <c r="H5" s="59" t="s">
        <v>75</v>
      </c>
      <c r="I5" s="59" t="s">
        <v>76</v>
      </c>
      <c r="J5" s="59" t="s">
        <v>78</v>
      </c>
      <c r="K5" s="50"/>
      <c r="L5" s="50"/>
      <c r="M5" s="59" t="s">
        <v>74</v>
      </c>
      <c r="N5" s="59" t="s">
        <v>75</v>
      </c>
      <c r="O5" s="59" t="s">
        <v>76</v>
      </c>
      <c r="P5" s="59" t="s">
        <v>78</v>
      </c>
      <c r="Q5" s="50"/>
      <c r="R5" s="50"/>
      <c r="S5" s="50"/>
      <c r="T5" s="50"/>
      <c r="U5" s="50"/>
      <c r="V5" s="50"/>
      <c r="W5" s="50"/>
      <c r="X5" s="50"/>
      <c r="Y5" s="50"/>
      <c r="Z5" s="50"/>
    </row>
    <row r="6">
      <c r="A6" s="48">
        <v>1.0</v>
      </c>
      <c r="B6" s="52" t="s">
        <v>530</v>
      </c>
      <c r="C6" s="48" t="s">
        <v>85</v>
      </c>
      <c r="D6" s="48" t="s">
        <v>531</v>
      </c>
      <c r="E6" s="50"/>
      <c r="F6" s="50"/>
      <c r="G6" s="48">
        <v>1.0</v>
      </c>
      <c r="H6" s="52" t="s">
        <v>532</v>
      </c>
      <c r="I6" s="48" t="s">
        <v>80</v>
      </c>
      <c r="J6" s="48" t="s">
        <v>533</v>
      </c>
      <c r="K6" s="50"/>
      <c r="L6" s="50"/>
      <c r="M6" s="48">
        <v>1.0</v>
      </c>
      <c r="N6" s="46" t="s">
        <v>534</v>
      </c>
      <c r="O6" s="48" t="s">
        <v>85</v>
      </c>
      <c r="P6" s="48" t="s">
        <v>535</v>
      </c>
      <c r="Q6" s="50"/>
      <c r="R6" s="50"/>
      <c r="S6" s="50"/>
      <c r="T6" s="50"/>
      <c r="U6" s="50"/>
      <c r="V6" s="50"/>
      <c r="W6" s="50"/>
      <c r="X6" s="50"/>
      <c r="Y6" s="50"/>
      <c r="Z6" s="50"/>
    </row>
    <row r="7">
      <c r="A7" s="48">
        <v>2.0</v>
      </c>
      <c r="B7" s="52" t="s">
        <v>536</v>
      </c>
      <c r="C7" s="48" t="s">
        <v>80</v>
      </c>
      <c r="D7" s="48" t="s">
        <v>531</v>
      </c>
      <c r="E7" s="50"/>
      <c r="F7" s="50"/>
      <c r="G7" s="48">
        <v>2.0</v>
      </c>
      <c r="H7" s="52" t="s">
        <v>537</v>
      </c>
      <c r="I7" s="48" t="s">
        <v>80</v>
      </c>
      <c r="J7" s="48" t="s">
        <v>535</v>
      </c>
      <c r="K7" s="50"/>
      <c r="L7" s="50"/>
      <c r="M7" s="48">
        <v>2.0</v>
      </c>
      <c r="N7" s="52" t="s">
        <v>538</v>
      </c>
      <c r="O7" s="48" t="s">
        <v>85</v>
      </c>
      <c r="P7" s="48" t="s">
        <v>533</v>
      </c>
      <c r="Q7" s="50"/>
      <c r="R7" s="50"/>
      <c r="S7" s="50"/>
      <c r="T7" s="50"/>
      <c r="U7" s="50"/>
      <c r="V7" s="50"/>
      <c r="W7" s="50"/>
      <c r="X7" s="50"/>
      <c r="Y7" s="50"/>
      <c r="Z7" s="50"/>
    </row>
    <row r="8">
      <c r="A8" s="48">
        <v>3.0</v>
      </c>
      <c r="B8" s="52" t="s">
        <v>539</v>
      </c>
      <c r="C8" s="48" t="s">
        <v>80</v>
      </c>
      <c r="D8" s="48" t="s">
        <v>535</v>
      </c>
      <c r="E8" s="50"/>
      <c r="F8" s="50"/>
      <c r="G8" s="48">
        <v>3.0</v>
      </c>
      <c r="H8" s="52" t="s">
        <v>540</v>
      </c>
      <c r="I8" s="48" t="s">
        <v>85</v>
      </c>
      <c r="J8" s="48" t="s">
        <v>535</v>
      </c>
      <c r="K8" s="50"/>
      <c r="L8" s="50"/>
      <c r="M8" s="48">
        <v>3.0</v>
      </c>
      <c r="N8" s="52" t="s">
        <v>541</v>
      </c>
      <c r="O8" s="48" t="s">
        <v>80</v>
      </c>
      <c r="P8" s="48" t="s">
        <v>533</v>
      </c>
      <c r="Q8" s="50"/>
      <c r="R8" s="50"/>
      <c r="S8" s="50"/>
      <c r="T8" s="50"/>
      <c r="U8" s="50"/>
      <c r="V8" s="50"/>
      <c r="W8" s="50"/>
      <c r="X8" s="50"/>
      <c r="Y8" s="50"/>
      <c r="Z8" s="50"/>
    </row>
    <row r="9">
      <c r="A9" s="48">
        <v>4.0</v>
      </c>
      <c r="B9" s="52" t="s">
        <v>542</v>
      </c>
      <c r="C9" s="48" t="s">
        <v>80</v>
      </c>
      <c r="D9" s="48" t="s">
        <v>531</v>
      </c>
      <c r="E9" s="50"/>
      <c r="F9" s="50"/>
      <c r="G9" s="48">
        <v>4.0</v>
      </c>
      <c r="H9" s="52" t="s">
        <v>543</v>
      </c>
      <c r="I9" s="48" t="s">
        <v>85</v>
      </c>
      <c r="J9" s="48" t="s">
        <v>533</v>
      </c>
      <c r="K9" s="50"/>
      <c r="L9" s="50"/>
      <c r="M9" s="48">
        <v>4.0</v>
      </c>
      <c r="N9" s="46" t="s">
        <v>544</v>
      </c>
      <c r="O9" s="48" t="s">
        <v>80</v>
      </c>
      <c r="P9" s="48" t="s">
        <v>535</v>
      </c>
      <c r="Q9" s="50"/>
      <c r="R9" s="50"/>
      <c r="S9" s="50"/>
      <c r="T9" s="50"/>
      <c r="U9" s="50"/>
      <c r="V9" s="50"/>
      <c r="W9" s="50"/>
      <c r="X9" s="50"/>
      <c r="Y9" s="50"/>
      <c r="Z9" s="50"/>
    </row>
    <row r="10">
      <c r="A10" s="48">
        <v>5.0</v>
      </c>
      <c r="B10" s="52" t="s">
        <v>545</v>
      </c>
      <c r="C10" s="48" t="s">
        <v>85</v>
      </c>
      <c r="D10" s="48" t="s">
        <v>533</v>
      </c>
      <c r="E10" s="50"/>
      <c r="F10" s="50"/>
      <c r="G10" s="48">
        <v>5.0</v>
      </c>
      <c r="H10" s="52" t="s">
        <v>546</v>
      </c>
      <c r="I10" s="54" t="s">
        <v>85</v>
      </c>
      <c r="J10" s="54" t="s">
        <v>535</v>
      </c>
      <c r="K10" s="50"/>
      <c r="L10" s="50"/>
      <c r="M10" s="48">
        <v>5.0</v>
      </c>
      <c r="N10" s="52" t="s">
        <v>547</v>
      </c>
      <c r="O10" s="48" t="s">
        <v>85</v>
      </c>
      <c r="P10" s="48" t="s">
        <v>535</v>
      </c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>
      <c r="A11" s="48">
        <v>6.0</v>
      </c>
      <c r="B11" s="52" t="s">
        <v>548</v>
      </c>
      <c r="C11" s="48" t="s">
        <v>85</v>
      </c>
      <c r="D11" s="48" t="s">
        <v>533</v>
      </c>
      <c r="E11" s="50"/>
      <c r="F11" s="50"/>
      <c r="G11" s="48">
        <v>6.0</v>
      </c>
      <c r="H11" s="52" t="s">
        <v>549</v>
      </c>
      <c r="I11" s="48" t="s">
        <v>85</v>
      </c>
      <c r="J11" s="48" t="s">
        <v>533</v>
      </c>
      <c r="K11" s="50"/>
      <c r="L11" s="50"/>
      <c r="M11" s="48">
        <v>6.0</v>
      </c>
      <c r="N11" s="52" t="s">
        <v>550</v>
      </c>
      <c r="O11" s="48" t="s">
        <v>85</v>
      </c>
      <c r="P11" s="48" t="s">
        <v>533</v>
      </c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>
      <c r="A12" s="48">
        <v>7.0</v>
      </c>
      <c r="B12" s="52" t="s">
        <v>551</v>
      </c>
      <c r="C12" s="48" t="s">
        <v>80</v>
      </c>
      <c r="D12" s="48" t="s">
        <v>533</v>
      </c>
      <c r="E12" s="50"/>
      <c r="F12" s="50"/>
      <c r="G12" s="48">
        <v>7.0</v>
      </c>
      <c r="H12" s="52" t="s">
        <v>552</v>
      </c>
      <c r="I12" s="48" t="s">
        <v>80</v>
      </c>
      <c r="J12" s="48" t="s">
        <v>531</v>
      </c>
      <c r="K12" s="50"/>
      <c r="L12" s="50"/>
      <c r="M12" s="48">
        <v>7.0</v>
      </c>
      <c r="N12" s="52" t="s">
        <v>553</v>
      </c>
      <c r="O12" s="48" t="s">
        <v>80</v>
      </c>
      <c r="P12" s="48" t="s">
        <v>533</v>
      </c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>
      <c r="A13" s="48">
        <v>8.0</v>
      </c>
      <c r="B13" s="52" t="s">
        <v>554</v>
      </c>
      <c r="C13" s="48" t="s">
        <v>80</v>
      </c>
      <c r="D13" s="48" t="s">
        <v>535</v>
      </c>
      <c r="E13" s="50"/>
      <c r="F13" s="50"/>
      <c r="G13" s="48">
        <v>8.0</v>
      </c>
      <c r="H13" s="52" t="s">
        <v>555</v>
      </c>
      <c r="I13" s="48" t="s">
        <v>80</v>
      </c>
      <c r="J13" s="48" t="s">
        <v>535</v>
      </c>
      <c r="K13" s="50"/>
      <c r="L13" s="50"/>
      <c r="M13" s="48">
        <v>8.0</v>
      </c>
      <c r="N13" s="52" t="s">
        <v>556</v>
      </c>
      <c r="O13" s="48" t="s">
        <v>80</v>
      </c>
      <c r="P13" s="48" t="s">
        <v>531</v>
      </c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>
      <c r="A14" s="48">
        <v>9.0</v>
      </c>
      <c r="B14" s="46" t="s">
        <v>557</v>
      </c>
      <c r="C14" s="48" t="s">
        <v>80</v>
      </c>
      <c r="D14" s="48" t="s">
        <v>531</v>
      </c>
      <c r="E14" s="50"/>
      <c r="F14" s="50"/>
      <c r="G14" s="48">
        <v>9.0</v>
      </c>
      <c r="H14" s="46" t="s">
        <v>558</v>
      </c>
      <c r="I14" s="48" t="s">
        <v>80</v>
      </c>
      <c r="J14" s="48" t="s">
        <v>533</v>
      </c>
      <c r="K14" s="50"/>
      <c r="L14" s="50"/>
      <c r="M14" s="48">
        <v>9.0</v>
      </c>
      <c r="N14" s="46" t="s">
        <v>559</v>
      </c>
      <c r="O14" s="48" t="s">
        <v>85</v>
      </c>
      <c r="P14" s="48" t="s">
        <v>531</v>
      </c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>
      <c r="A15" s="48">
        <v>10.0</v>
      </c>
      <c r="B15" s="46" t="s">
        <v>560</v>
      </c>
      <c r="C15" s="48" t="s">
        <v>85</v>
      </c>
      <c r="D15" s="48" t="s">
        <v>531</v>
      </c>
      <c r="E15" s="50"/>
      <c r="F15" s="50"/>
      <c r="G15" s="48">
        <v>10.0</v>
      </c>
      <c r="H15" s="46" t="s">
        <v>561</v>
      </c>
      <c r="I15" s="60" t="s">
        <v>80</v>
      </c>
      <c r="J15" s="48" t="s">
        <v>531</v>
      </c>
      <c r="K15" s="50"/>
      <c r="L15" s="50"/>
      <c r="M15" s="48">
        <v>10.0</v>
      </c>
      <c r="N15" s="46" t="s">
        <v>562</v>
      </c>
      <c r="O15" s="48" t="s">
        <v>85</v>
      </c>
      <c r="P15" s="48" t="s">
        <v>535</v>
      </c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>
      <c r="A16" s="48">
        <v>11.0</v>
      </c>
      <c r="B16" s="46" t="s">
        <v>563</v>
      </c>
      <c r="C16" s="48" t="s">
        <v>85</v>
      </c>
      <c r="D16" s="48" t="s">
        <v>535</v>
      </c>
      <c r="E16" s="50"/>
      <c r="F16" s="50"/>
      <c r="G16" s="48">
        <v>11.0</v>
      </c>
      <c r="H16" s="46" t="s">
        <v>564</v>
      </c>
      <c r="I16" s="48" t="s">
        <v>85</v>
      </c>
      <c r="J16" s="48" t="s">
        <v>531</v>
      </c>
      <c r="K16" s="50"/>
      <c r="L16" s="50"/>
      <c r="M16" s="48">
        <v>11.0</v>
      </c>
      <c r="N16" s="46" t="s">
        <v>565</v>
      </c>
      <c r="O16" s="48" t="s">
        <v>85</v>
      </c>
      <c r="P16" s="48" t="s">
        <v>535</v>
      </c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>
      <c r="A17" s="48">
        <v>12.0</v>
      </c>
      <c r="B17" s="46" t="s">
        <v>566</v>
      </c>
      <c r="C17" s="48" t="s">
        <v>85</v>
      </c>
      <c r="D17" s="48" t="s">
        <v>535</v>
      </c>
      <c r="E17" s="50"/>
      <c r="F17" s="50"/>
      <c r="G17" s="48">
        <v>12.0</v>
      </c>
      <c r="H17" s="46" t="s">
        <v>567</v>
      </c>
      <c r="I17" s="48" t="s">
        <v>85</v>
      </c>
      <c r="J17" s="48" t="s">
        <v>531</v>
      </c>
      <c r="K17" s="50"/>
      <c r="L17" s="50"/>
      <c r="M17" s="48">
        <v>12.0</v>
      </c>
      <c r="N17" s="46" t="s">
        <v>568</v>
      </c>
      <c r="O17" s="48" t="s">
        <v>80</v>
      </c>
      <c r="P17" s="48" t="s">
        <v>533</v>
      </c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>
      <c r="A18" s="48">
        <v>13.0</v>
      </c>
      <c r="B18" s="46" t="s">
        <v>569</v>
      </c>
      <c r="C18" s="48" t="s">
        <v>80</v>
      </c>
      <c r="D18" s="48" t="s">
        <v>533</v>
      </c>
      <c r="E18" s="50"/>
      <c r="F18" s="50"/>
      <c r="G18" s="48">
        <v>13.0</v>
      </c>
      <c r="H18" s="46" t="s">
        <v>570</v>
      </c>
      <c r="I18" s="48" t="s">
        <v>85</v>
      </c>
      <c r="J18" s="48" t="s">
        <v>533</v>
      </c>
      <c r="K18" s="50"/>
      <c r="L18" s="50"/>
      <c r="M18" s="48">
        <v>13.0</v>
      </c>
      <c r="N18" s="46" t="s">
        <v>571</v>
      </c>
      <c r="O18" s="48" t="s">
        <v>80</v>
      </c>
      <c r="P18" s="48" t="s">
        <v>531</v>
      </c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>
      <c r="A19" s="48">
        <v>14.0</v>
      </c>
      <c r="B19" s="46" t="s">
        <v>572</v>
      </c>
      <c r="C19" s="48" t="s">
        <v>85</v>
      </c>
      <c r="D19" s="48" t="s">
        <v>531</v>
      </c>
      <c r="E19" s="50"/>
      <c r="F19" s="50"/>
      <c r="G19" s="48">
        <v>14.0</v>
      </c>
      <c r="H19" s="46" t="s">
        <v>573</v>
      </c>
      <c r="I19" s="48" t="s">
        <v>85</v>
      </c>
      <c r="J19" s="48" t="s">
        <v>535</v>
      </c>
      <c r="K19" s="50"/>
      <c r="L19" s="50"/>
      <c r="M19" s="48">
        <v>14.0</v>
      </c>
      <c r="N19" s="46" t="s">
        <v>574</v>
      </c>
      <c r="O19" s="48" t="s">
        <v>85</v>
      </c>
      <c r="P19" s="48" t="s">
        <v>533</v>
      </c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>
      <c r="A20" s="48">
        <v>15.0</v>
      </c>
      <c r="B20" s="46" t="s">
        <v>575</v>
      </c>
      <c r="C20" s="48" t="s">
        <v>80</v>
      </c>
      <c r="D20" s="48" t="s">
        <v>533</v>
      </c>
      <c r="E20" s="50"/>
      <c r="F20" s="50"/>
      <c r="G20" s="48">
        <v>15.0</v>
      </c>
      <c r="H20" s="46" t="s">
        <v>576</v>
      </c>
      <c r="I20" s="48" t="s">
        <v>80</v>
      </c>
      <c r="J20" s="48" t="s">
        <v>535</v>
      </c>
      <c r="K20" s="50"/>
      <c r="L20" s="50"/>
      <c r="M20" s="48">
        <v>15.0</v>
      </c>
      <c r="N20" s="46" t="s">
        <v>577</v>
      </c>
      <c r="O20" s="48" t="s">
        <v>80</v>
      </c>
      <c r="P20" s="48" t="s">
        <v>535</v>
      </c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ht="15.75" customHeight="1">
      <c r="A21" s="48">
        <v>16.0</v>
      </c>
      <c r="B21" s="52" t="s">
        <v>578</v>
      </c>
      <c r="C21" s="48" t="s">
        <v>80</v>
      </c>
      <c r="D21" s="48" t="s">
        <v>533</v>
      </c>
      <c r="E21" s="50"/>
      <c r="F21" s="50"/>
      <c r="G21" s="48">
        <v>16.0</v>
      </c>
      <c r="H21" s="46" t="s">
        <v>579</v>
      </c>
      <c r="I21" s="56" t="s">
        <v>85</v>
      </c>
      <c r="J21" s="48" t="s">
        <v>531</v>
      </c>
      <c r="K21" s="50"/>
      <c r="L21" s="50"/>
      <c r="M21" s="48">
        <v>16.0</v>
      </c>
      <c r="N21" s="51" t="s">
        <v>580</v>
      </c>
      <c r="O21" s="60" t="s">
        <v>85</v>
      </c>
      <c r="P21" s="60" t="s">
        <v>531</v>
      </c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ht="15.75" customHeight="1">
      <c r="A22" s="48">
        <v>17.0</v>
      </c>
      <c r="B22" s="46" t="s">
        <v>581</v>
      </c>
      <c r="C22" s="48" t="s">
        <v>80</v>
      </c>
      <c r="D22" s="48" t="s">
        <v>531</v>
      </c>
      <c r="E22" s="50"/>
      <c r="F22" s="50"/>
      <c r="G22" s="48">
        <v>17.0</v>
      </c>
      <c r="H22" s="46" t="s">
        <v>582</v>
      </c>
      <c r="I22" s="48" t="s">
        <v>85</v>
      </c>
      <c r="J22" s="48" t="s">
        <v>533</v>
      </c>
      <c r="K22" s="50"/>
      <c r="L22" s="50"/>
      <c r="M22" s="48">
        <v>17.0</v>
      </c>
      <c r="N22" s="46" t="s">
        <v>583</v>
      </c>
      <c r="O22" s="48" t="s">
        <v>85</v>
      </c>
      <c r="P22" s="48" t="s">
        <v>533</v>
      </c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ht="15.75" customHeight="1">
      <c r="A23" s="48">
        <v>18.0</v>
      </c>
      <c r="B23" s="46" t="s">
        <v>584</v>
      </c>
      <c r="C23" s="48" t="s">
        <v>85</v>
      </c>
      <c r="D23" s="48" t="s">
        <v>535</v>
      </c>
      <c r="E23" s="50"/>
      <c r="F23" s="50"/>
      <c r="G23" s="48">
        <v>18.0</v>
      </c>
      <c r="H23" s="46" t="s">
        <v>585</v>
      </c>
      <c r="I23" s="48" t="s">
        <v>85</v>
      </c>
      <c r="J23" s="48" t="s">
        <v>531</v>
      </c>
      <c r="K23" s="50"/>
      <c r="L23" s="50"/>
      <c r="M23" s="48">
        <v>18.0</v>
      </c>
      <c r="N23" s="46" t="s">
        <v>586</v>
      </c>
      <c r="O23" s="48" t="s">
        <v>85</v>
      </c>
      <c r="P23" s="48" t="s">
        <v>531</v>
      </c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ht="15.75" customHeight="1">
      <c r="A24" s="48">
        <v>19.0</v>
      </c>
      <c r="B24" s="46" t="s">
        <v>587</v>
      </c>
      <c r="C24" s="48" t="s">
        <v>85</v>
      </c>
      <c r="D24" s="48" t="s">
        <v>533</v>
      </c>
      <c r="E24" s="50"/>
      <c r="F24" s="50"/>
      <c r="G24" s="48">
        <v>19.0</v>
      </c>
      <c r="H24" s="46" t="s">
        <v>588</v>
      </c>
      <c r="I24" s="48" t="s">
        <v>85</v>
      </c>
      <c r="J24" s="48" t="s">
        <v>535</v>
      </c>
      <c r="K24" s="50"/>
      <c r="L24" s="50"/>
      <c r="M24" s="48">
        <v>19.0</v>
      </c>
      <c r="N24" s="46" t="s">
        <v>589</v>
      </c>
      <c r="O24" s="48" t="s">
        <v>80</v>
      </c>
      <c r="P24" s="48" t="s">
        <v>531</v>
      </c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ht="15.75" customHeight="1">
      <c r="A25" s="48">
        <v>20.0</v>
      </c>
      <c r="B25" s="46" t="s">
        <v>590</v>
      </c>
      <c r="C25" s="48" t="s">
        <v>85</v>
      </c>
      <c r="D25" s="48" t="s">
        <v>535</v>
      </c>
      <c r="E25" s="50"/>
      <c r="F25" s="50"/>
      <c r="G25" s="48">
        <v>20.0</v>
      </c>
      <c r="H25" s="46" t="s">
        <v>591</v>
      </c>
      <c r="I25" s="48" t="s">
        <v>80</v>
      </c>
      <c r="J25" s="48" t="s">
        <v>533</v>
      </c>
      <c r="K25" s="50"/>
      <c r="L25" s="50"/>
      <c r="M25" s="48">
        <v>20.0</v>
      </c>
      <c r="N25" s="61" t="s">
        <v>592</v>
      </c>
      <c r="O25" s="48" t="s">
        <v>80</v>
      </c>
      <c r="P25" s="54" t="s">
        <v>535</v>
      </c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15.75" customHeight="1">
      <c r="A26" s="48">
        <v>21.0</v>
      </c>
      <c r="B26" s="46" t="s">
        <v>593</v>
      </c>
      <c r="C26" s="48" t="s">
        <v>80</v>
      </c>
      <c r="D26" s="48" t="s">
        <v>535</v>
      </c>
      <c r="E26" s="50"/>
      <c r="F26" s="50"/>
      <c r="G26" s="48">
        <v>21.0</v>
      </c>
      <c r="H26" s="46" t="s">
        <v>594</v>
      </c>
      <c r="I26" s="48" t="s">
        <v>80</v>
      </c>
      <c r="J26" s="48" t="s">
        <v>531</v>
      </c>
      <c r="K26" s="50"/>
      <c r="L26" s="50"/>
      <c r="M26" s="48">
        <v>21.0</v>
      </c>
      <c r="N26" s="46" t="s">
        <v>595</v>
      </c>
      <c r="O26" s="48" t="s">
        <v>80</v>
      </c>
      <c r="P26" s="48" t="s">
        <v>535</v>
      </c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15.75" customHeight="1">
      <c r="A27" s="48">
        <v>22.0</v>
      </c>
      <c r="B27" s="46" t="s">
        <v>596</v>
      </c>
      <c r="C27" s="48" t="s">
        <v>85</v>
      </c>
      <c r="D27" s="48" t="s">
        <v>533</v>
      </c>
      <c r="E27" s="50"/>
      <c r="F27" s="50"/>
      <c r="G27" s="48">
        <v>22.0</v>
      </c>
      <c r="H27" s="46" t="s">
        <v>597</v>
      </c>
      <c r="I27" s="48" t="s">
        <v>80</v>
      </c>
      <c r="J27" s="48" t="s">
        <v>531</v>
      </c>
      <c r="K27" s="50"/>
      <c r="L27" s="50"/>
      <c r="M27" s="48">
        <v>22.0</v>
      </c>
      <c r="N27" s="51" t="s">
        <v>598</v>
      </c>
      <c r="O27" s="60" t="s">
        <v>80</v>
      </c>
      <c r="P27" s="60" t="s">
        <v>531</v>
      </c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15.75" customHeight="1">
      <c r="A28" s="48">
        <v>23.0</v>
      </c>
      <c r="B28" s="46" t="s">
        <v>599</v>
      </c>
      <c r="C28" s="48" t="s">
        <v>80</v>
      </c>
      <c r="D28" s="48" t="s">
        <v>533</v>
      </c>
      <c r="E28" s="50"/>
      <c r="F28" s="50"/>
      <c r="G28" s="48">
        <v>23.0</v>
      </c>
      <c r="H28" s="46" t="s">
        <v>600</v>
      </c>
      <c r="I28" s="48" t="s">
        <v>80</v>
      </c>
      <c r="J28" s="48" t="s">
        <v>533</v>
      </c>
      <c r="K28" s="50"/>
      <c r="L28" s="50"/>
      <c r="M28" s="48">
        <v>23.0</v>
      </c>
      <c r="N28" s="46" t="s">
        <v>601</v>
      </c>
      <c r="O28" s="48" t="s">
        <v>80</v>
      </c>
      <c r="P28" s="48" t="s">
        <v>535</v>
      </c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15.75" customHeight="1">
      <c r="A29" s="50"/>
      <c r="B29" s="50"/>
      <c r="C29" s="56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15.75" customHeight="1">
      <c r="A30" s="50"/>
      <c r="B30" s="50" t="s">
        <v>230</v>
      </c>
      <c r="C30" s="56">
        <v>12.0</v>
      </c>
      <c r="D30" s="50"/>
      <c r="E30" s="50"/>
      <c r="F30" s="50"/>
      <c r="G30" s="50"/>
      <c r="H30" s="50" t="s">
        <v>230</v>
      </c>
      <c r="I30" s="56">
        <v>11.0</v>
      </c>
      <c r="J30" s="50"/>
      <c r="K30" s="50"/>
      <c r="L30" s="50"/>
      <c r="M30" s="50"/>
      <c r="N30" s="50" t="s">
        <v>230</v>
      </c>
      <c r="O30" s="56">
        <v>12.0</v>
      </c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ht="15.75" customHeight="1">
      <c r="A31" s="50"/>
      <c r="B31" s="50" t="s">
        <v>229</v>
      </c>
      <c r="C31" s="56">
        <v>11.0</v>
      </c>
      <c r="D31" s="50"/>
      <c r="E31" s="50"/>
      <c r="F31" s="50"/>
      <c r="G31" s="50"/>
      <c r="H31" s="50" t="s">
        <v>229</v>
      </c>
      <c r="I31" s="56">
        <v>12.0</v>
      </c>
      <c r="J31" s="50"/>
      <c r="K31" s="50"/>
      <c r="L31" s="50"/>
      <c r="M31" s="50"/>
      <c r="N31" s="50" t="s">
        <v>229</v>
      </c>
      <c r="O31" s="56">
        <v>11.0</v>
      </c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15.75" customHeight="1">
      <c r="A32" s="50"/>
      <c r="B32" s="50" t="s">
        <v>231</v>
      </c>
      <c r="C32" s="56" t="str">
        <f>C30+C31</f>
        <v>23</v>
      </c>
      <c r="D32" s="50"/>
      <c r="E32" s="50"/>
      <c r="F32" s="50"/>
      <c r="G32" s="50"/>
      <c r="H32" s="50"/>
      <c r="I32" s="50" t="str">
        <f>I30+I31</f>
        <v>23</v>
      </c>
      <c r="J32" s="50"/>
      <c r="K32" s="50"/>
      <c r="L32" s="50"/>
      <c r="M32" s="50"/>
      <c r="N32" s="50"/>
      <c r="O32" s="50" t="str">
        <f>O30+O31</f>
        <v>23</v>
      </c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15.75" customHeight="1">
      <c r="A33" s="50"/>
      <c r="B33" s="50"/>
      <c r="C33" s="56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ht="15.75" customHeight="1">
      <c r="A34" s="50"/>
      <c r="B34" s="50"/>
      <c r="C34" s="56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15.75" customHeight="1">
      <c r="A35" s="50"/>
      <c r="B35" s="50"/>
      <c r="C35" s="56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15.75" customHeight="1">
      <c r="A36" s="50"/>
      <c r="B36" s="50"/>
      <c r="C36" s="56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15.75" customHeight="1">
      <c r="A37" s="50"/>
      <c r="B37" s="50"/>
      <c r="C37" s="56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5.75" customHeight="1">
      <c r="A38" s="50"/>
      <c r="B38" s="50"/>
      <c r="C38" s="56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15.75" customHeight="1">
      <c r="A39" s="50"/>
      <c r="B39" s="50"/>
      <c r="C39" s="56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15.75" customHeight="1">
      <c r="A40" s="50"/>
      <c r="B40" s="50"/>
      <c r="C40" s="56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15.75" customHeight="1">
      <c r="A41" s="50"/>
      <c r="B41" s="50"/>
      <c r="C41" s="56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15.75" customHeight="1">
      <c r="A42" s="50"/>
      <c r="B42" s="50"/>
      <c r="C42" s="56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15.75" customHeight="1">
      <c r="A43" s="50"/>
      <c r="B43" s="50"/>
      <c r="C43" s="56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15.75" customHeight="1">
      <c r="A44" s="50"/>
      <c r="B44" s="50"/>
      <c r="C44" s="56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15.75" customHeight="1">
      <c r="A45" s="50"/>
      <c r="B45" s="50"/>
      <c r="C45" s="56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15.75" customHeight="1">
      <c r="A46" s="50"/>
      <c r="B46" s="50"/>
      <c r="C46" s="56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15.75" customHeight="1">
      <c r="A47" s="50"/>
      <c r="B47" s="50"/>
      <c r="C47" s="56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15.75" customHeight="1">
      <c r="A48" s="50"/>
      <c r="B48" s="50"/>
      <c r="C48" s="56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5.75" customHeight="1">
      <c r="A49" s="50"/>
      <c r="B49" s="50"/>
      <c r="C49" s="56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15.75" customHeight="1">
      <c r="A50" s="50"/>
      <c r="B50" s="50"/>
      <c r="C50" s="56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15.75" customHeight="1">
      <c r="A51" s="50"/>
      <c r="B51" s="50"/>
      <c r="C51" s="56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15.75" customHeight="1">
      <c r="A52" s="50"/>
      <c r="B52" s="50"/>
      <c r="C52" s="56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15.75" customHeight="1">
      <c r="A53" s="50"/>
      <c r="B53" s="50"/>
      <c r="C53" s="56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15.75" customHeight="1">
      <c r="A54" s="50"/>
      <c r="B54" s="50"/>
      <c r="C54" s="56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15.75" customHeight="1">
      <c r="A55" s="50"/>
      <c r="B55" s="50"/>
      <c r="C55" s="56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5.75" customHeight="1">
      <c r="A56" s="50"/>
      <c r="B56" s="50"/>
      <c r="C56" s="56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5.75" customHeight="1">
      <c r="A57" s="50"/>
      <c r="B57" s="50"/>
      <c r="C57" s="56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5.75" customHeight="1">
      <c r="A58" s="50"/>
      <c r="B58" s="50"/>
      <c r="C58" s="56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15.75" customHeight="1">
      <c r="A59" s="50"/>
      <c r="B59" s="50"/>
      <c r="C59" s="56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15.75" customHeight="1">
      <c r="A60" s="50"/>
      <c r="B60" s="50"/>
      <c r="C60" s="56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15.75" customHeight="1">
      <c r="A61" s="50"/>
      <c r="B61" s="50"/>
      <c r="C61" s="56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5.75" customHeight="1">
      <c r="A62" s="50"/>
      <c r="B62" s="50"/>
      <c r="C62" s="56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5.75" customHeight="1">
      <c r="A63" s="50"/>
      <c r="B63" s="50"/>
      <c r="C63" s="56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15.75" customHeight="1">
      <c r="A64" s="50"/>
      <c r="B64" s="50"/>
      <c r="C64" s="56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15.75" customHeight="1">
      <c r="A65" s="50"/>
      <c r="B65" s="50"/>
      <c r="C65" s="56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15.75" customHeight="1">
      <c r="A66" s="50"/>
      <c r="B66" s="50"/>
      <c r="C66" s="56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5.75" customHeight="1">
      <c r="A67" s="50"/>
      <c r="B67" s="50"/>
      <c r="C67" s="56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5.75" customHeight="1">
      <c r="A68" s="50"/>
      <c r="B68" s="50"/>
      <c r="C68" s="56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5.75" customHeight="1">
      <c r="A69" s="50"/>
      <c r="B69" s="50"/>
      <c r="C69" s="56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5.75" customHeight="1">
      <c r="A70" s="50"/>
      <c r="B70" s="50"/>
      <c r="C70" s="56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5.75" customHeight="1">
      <c r="A71" s="50"/>
      <c r="B71" s="50"/>
      <c r="C71" s="56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5.75" customHeight="1">
      <c r="A72" s="50"/>
      <c r="B72" s="50"/>
      <c r="C72" s="56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5.75" customHeight="1">
      <c r="A73" s="50"/>
      <c r="B73" s="50"/>
      <c r="C73" s="56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5.75" customHeight="1">
      <c r="A74" s="50"/>
      <c r="B74" s="50"/>
      <c r="C74" s="56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5.75" customHeight="1">
      <c r="A75" s="50"/>
      <c r="B75" s="50"/>
      <c r="C75" s="56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5.75" customHeight="1">
      <c r="A76" s="50"/>
      <c r="B76" s="50"/>
      <c r="C76" s="56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5.75" customHeight="1">
      <c r="A77" s="50"/>
      <c r="B77" s="50"/>
      <c r="C77" s="56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5.75" customHeight="1">
      <c r="A78" s="50"/>
      <c r="B78" s="50"/>
      <c r="C78" s="56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5.75" customHeight="1">
      <c r="A79" s="50"/>
      <c r="B79" s="50"/>
      <c r="C79" s="56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5.75" customHeight="1">
      <c r="A80" s="50"/>
      <c r="B80" s="50"/>
      <c r="C80" s="56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5.75" customHeight="1">
      <c r="A81" s="50"/>
      <c r="B81" s="50"/>
      <c r="C81" s="56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5.75" customHeight="1">
      <c r="A82" s="50"/>
      <c r="B82" s="50"/>
      <c r="C82" s="56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5.75" customHeight="1">
      <c r="A83" s="50"/>
      <c r="B83" s="50"/>
      <c r="C83" s="56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5.75" customHeight="1">
      <c r="A84" s="50"/>
      <c r="B84" s="50"/>
      <c r="C84" s="56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5.75" customHeight="1">
      <c r="A85" s="50"/>
      <c r="B85" s="50"/>
      <c r="C85" s="56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5.75" customHeight="1">
      <c r="A86" s="50"/>
      <c r="B86" s="50"/>
      <c r="C86" s="56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5.75" customHeight="1">
      <c r="A87" s="50"/>
      <c r="B87" s="50"/>
      <c r="C87" s="56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5.75" customHeight="1">
      <c r="A88" s="50"/>
      <c r="B88" s="50"/>
      <c r="C88" s="56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5.75" customHeight="1">
      <c r="A89" s="50"/>
      <c r="B89" s="50"/>
      <c r="C89" s="56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5.75" customHeight="1">
      <c r="A90" s="50"/>
      <c r="B90" s="50"/>
      <c r="C90" s="56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5.75" customHeight="1">
      <c r="A91" s="50"/>
      <c r="B91" s="50"/>
      <c r="C91" s="56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5.75" customHeight="1">
      <c r="A92" s="50"/>
      <c r="B92" s="50"/>
      <c r="C92" s="56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5.75" customHeight="1">
      <c r="A93" s="50"/>
      <c r="B93" s="50"/>
      <c r="C93" s="56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5.75" customHeight="1">
      <c r="A94" s="50"/>
      <c r="B94" s="50"/>
      <c r="C94" s="56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5.75" customHeight="1">
      <c r="A95" s="50"/>
      <c r="B95" s="50"/>
      <c r="C95" s="56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5.75" customHeight="1">
      <c r="A96" s="50"/>
      <c r="B96" s="50"/>
      <c r="C96" s="56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5.75" customHeight="1">
      <c r="A97" s="50"/>
      <c r="B97" s="50"/>
      <c r="C97" s="56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5.75" customHeight="1">
      <c r="A98" s="50"/>
      <c r="B98" s="50"/>
      <c r="C98" s="56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5.75" customHeight="1">
      <c r="A99" s="50"/>
      <c r="B99" s="50"/>
      <c r="C99" s="56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5.75" customHeight="1">
      <c r="A100" s="50"/>
      <c r="B100" s="50"/>
      <c r="C100" s="56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5.75" customHeight="1">
      <c r="A101" s="50"/>
      <c r="B101" s="50"/>
      <c r="C101" s="56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5.75" customHeight="1">
      <c r="A102" s="50"/>
      <c r="B102" s="50"/>
      <c r="C102" s="56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5.75" customHeight="1">
      <c r="A103" s="50"/>
      <c r="B103" s="50"/>
      <c r="C103" s="56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5.75" customHeight="1">
      <c r="A104" s="50"/>
      <c r="B104" s="50"/>
      <c r="C104" s="56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5.75" customHeight="1">
      <c r="A105" s="50"/>
      <c r="B105" s="50"/>
      <c r="C105" s="56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5.75" customHeight="1">
      <c r="A106" s="50"/>
      <c r="B106" s="50"/>
      <c r="C106" s="56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5.75" customHeight="1">
      <c r="A107" s="50"/>
      <c r="B107" s="50"/>
      <c r="C107" s="56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5.75" customHeight="1">
      <c r="A108" s="50"/>
      <c r="B108" s="50"/>
      <c r="C108" s="56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5.75" customHeight="1">
      <c r="A109" s="50"/>
      <c r="B109" s="50"/>
      <c r="C109" s="56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5.75" customHeight="1">
      <c r="A110" s="50"/>
      <c r="B110" s="50"/>
      <c r="C110" s="56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5.75" customHeight="1">
      <c r="A111" s="50"/>
      <c r="B111" s="50"/>
      <c r="C111" s="56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5.75" customHeight="1">
      <c r="A112" s="50"/>
      <c r="B112" s="50"/>
      <c r="C112" s="56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5.75" customHeight="1">
      <c r="A113" s="50"/>
      <c r="B113" s="50"/>
      <c r="C113" s="56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5.75" customHeight="1">
      <c r="A114" s="50"/>
      <c r="B114" s="50"/>
      <c r="C114" s="56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5.75" customHeight="1">
      <c r="A115" s="50"/>
      <c r="B115" s="50"/>
      <c r="C115" s="56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5.75" customHeight="1">
      <c r="A116" s="50"/>
      <c r="B116" s="50"/>
      <c r="C116" s="56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5.75" customHeight="1">
      <c r="A117" s="50"/>
      <c r="B117" s="50"/>
      <c r="C117" s="56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5.75" customHeight="1">
      <c r="A118" s="50"/>
      <c r="B118" s="50"/>
      <c r="C118" s="56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5.75" customHeight="1">
      <c r="A119" s="50"/>
      <c r="B119" s="50"/>
      <c r="C119" s="56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5.75" customHeight="1">
      <c r="A120" s="50"/>
      <c r="B120" s="50"/>
      <c r="C120" s="56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5.75" customHeight="1">
      <c r="A121" s="50"/>
      <c r="B121" s="50"/>
      <c r="C121" s="56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5.75" customHeight="1">
      <c r="A122" s="50"/>
      <c r="B122" s="50"/>
      <c r="C122" s="56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5.75" customHeight="1">
      <c r="A123" s="50"/>
      <c r="B123" s="50"/>
      <c r="C123" s="56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5.75" customHeight="1">
      <c r="A124" s="50"/>
      <c r="B124" s="50"/>
      <c r="C124" s="56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5.75" customHeight="1">
      <c r="A125" s="50"/>
      <c r="B125" s="50"/>
      <c r="C125" s="56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5.75" customHeight="1">
      <c r="A126" s="50"/>
      <c r="B126" s="50"/>
      <c r="C126" s="56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5.75" customHeight="1">
      <c r="A127" s="50"/>
      <c r="B127" s="50"/>
      <c r="C127" s="56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5.75" customHeight="1">
      <c r="A128" s="50"/>
      <c r="B128" s="50"/>
      <c r="C128" s="56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5.75" customHeight="1">
      <c r="A129" s="50"/>
      <c r="B129" s="50"/>
      <c r="C129" s="56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5.75" customHeight="1">
      <c r="A130" s="50"/>
      <c r="B130" s="50"/>
      <c r="C130" s="56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5.75" customHeight="1">
      <c r="A131" s="50"/>
      <c r="B131" s="50"/>
      <c r="C131" s="56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5.75" customHeight="1">
      <c r="A132" s="50"/>
      <c r="B132" s="50"/>
      <c r="C132" s="56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5.75" customHeight="1">
      <c r="A133" s="50"/>
      <c r="B133" s="50"/>
      <c r="C133" s="56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5.75" customHeight="1">
      <c r="A134" s="50"/>
      <c r="B134" s="50"/>
      <c r="C134" s="56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5.75" customHeight="1">
      <c r="A135" s="50"/>
      <c r="B135" s="50"/>
      <c r="C135" s="56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5.75" customHeight="1">
      <c r="A136" s="50"/>
      <c r="B136" s="50"/>
      <c r="C136" s="56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5.75" customHeight="1">
      <c r="A137" s="50"/>
      <c r="B137" s="50"/>
      <c r="C137" s="56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5.75" customHeight="1">
      <c r="A138" s="50"/>
      <c r="B138" s="50"/>
      <c r="C138" s="56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5.75" customHeight="1">
      <c r="A139" s="50"/>
      <c r="B139" s="50"/>
      <c r="C139" s="56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5.75" customHeight="1">
      <c r="A140" s="50"/>
      <c r="B140" s="50"/>
      <c r="C140" s="56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5.75" customHeight="1">
      <c r="A141" s="50"/>
      <c r="B141" s="50"/>
      <c r="C141" s="56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5.75" customHeight="1">
      <c r="A142" s="50"/>
      <c r="B142" s="50"/>
      <c r="C142" s="56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5.75" customHeight="1">
      <c r="A143" s="50"/>
      <c r="B143" s="50"/>
      <c r="C143" s="56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5.75" customHeight="1">
      <c r="A144" s="50"/>
      <c r="B144" s="50"/>
      <c r="C144" s="56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5.75" customHeight="1">
      <c r="A145" s="50"/>
      <c r="B145" s="50"/>
      <c r="C145" s="56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5.75" customHeight="1">
      <c r="A146" s="50"/>
      <c r="B146" s="50"/>
      <c r="C146" s="56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5.75" customHeight="1">
      <c r="A147" s="50"/>
      <c r="B147" s="50"/>
      <c r="C147" s="56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5.75" customHeight="1">
      <c r="A148" s="50"/>
      <c r="B148" s="50"/>
      <c r="C148" s="56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5.75" customHeight="1">
      <c r="A149" s="50"/>
      <c r="B149" s="50"/>
      <c r="C149" s="56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5.75" customHeight="1">
      <c r="A150" s="50"/>
      <c r="B150" s="50"/>
      <c r="C150" s="56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5.75" customHeight="1">
      <c r="A151" s="50"/>
      <c r="B151" s="50"/>
      <c r="C151" s="56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5.75" customHeight="1">
      <c r="A152" s="50"/>
      <c r="B152" s="50"/>
      <c r="C152" s="56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5.75" customHeight="1">
      <c r="A153" s="50"/>
      <c r="B153" s="50"/>
      <c r="C153" s="56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5.75" customHeight="1">
      <c r="A154" s="50"/>
      <c r="B154" s="50"/>
      <c r="C154" s="56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5.75" customHeight="1">
      <c r="A155" s="50"/>
      <c r="B155" s="50"/>
      <c r="C155" s="56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5.75" customHeight="1">
      <c r="A156" s="50"/>
      <c r="B156" s="50"/>
      <c r="C156" s="56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5.75" customHeight="1">
      <c r="A157" s="50"/>
      <c r="B157" s="50"/>
      <c r="C157" s="56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5.75" customHeight="1">
      <c r="A158" s="50"/>
      <c r="B158" s="50"/>
      <c r="C158" s="56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5.75" customHeight="1">
      <c r="A159" s="50"/>
      <c r="B159" s="50"/>
      <c r="C159" s="56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5.75" customHeight="1">
      <c r="A160" s="50"/>
      <c r="B160" s="50"/>
      <c r="C160" s="56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5.75" customHeight="1">
      <c r="A161" s="50"/>
      <c r="B161" s="50"/>
      <c r="C161" s="56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5.75" customHeight="1">
      <c r="A162" s="50"/>
      <c r="B162" s="50"/>
      <c r="C162" s="56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5.75" customHeight="1">
      <c r="A163" s="50"/>
      <c r="B163" s="50"/>
      <c r="C163" s="56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5.75" customHeight="1">
      <c r="A164" s="50"/>
      <c r="B164" s="50"/>
      <c r="C164" s="56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5.75" customHeight="1">
      <c r="A165" s="50"/>
      <c r="B165" s="50"/>
      <c r="C165" s="56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5.75" customHeight="1">
      <c r="A166" s="50"/>
      <c r="B166" s="50"/>
      <c r="C166" s="56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5.75" customHeight="1">
      <c r="A167" s="50"/>
      <c r="B167" s="50"/>
      <c r="C167" s="56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5.75" customHeight="1">
      <c r="A168" s="50"/>
      <c r="B168" s="50"/>
      <c r="C168" s="56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5.75" customHeight="1">
      <c r="A169" s="50"/>
      <c r="B169" s="50"/>
      <c r="C169" s="56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5.75" customHeight="1">
      <c r="A170" s="50"/>
      <c r="B170" s="50"/>
      <c r="C170" s="56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5.75" customHeight="1">
      <c r="A171" s="50"/>
      <c r="B171" s="50"/>
      <c r="C171" s="56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5.75" customHeight="1">
      <c r="A172" s="50"/>
      <c r="B172" s="50"/>
      <c r="C172" s="56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5.75" customHeight="1">
      <c r="A173" s="50"/>
      <c r="B173" s="50"/>
      <c r="C173" s="56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5.75" customHeight="1">
      <c r="A174" s="50"/>
      <c r="B174" s="50"/>
      <c r="C174" s="56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5.75" customHeight="1">
      <c r="A175" s="50"/>
      <c r="B175" s="50"/>
      <c r="C175" s="56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5.75" customHeight="1">
      <c r="A176" s="50"/>
      <c r="B176" s="50"/>
      <c r="C176" s="56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5.75" customHeight="1">
      <c r="A177" s="50"/>
      <c r="B177" s="50"/>
      <c r="C177" s="56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5.75" customHeight="1">
      <c r="A178" s="50"/>
      <c r="B178" s="50"/>
      <c r="C178" s="56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5.75" customHeight="1">
      <c r="A179" s="50"/>
      <c r="B179" s="50"/>
      <c r="C179" s="56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5.75" customHeight="1">
      <c r="A180" s="50"/>
      <c r="B180" s="50"/>
      <c r="C180" s="56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5.75" customHeight="1">
      <c r="A181" s="50"/>
      <c r="B181" s="50"/>
      <c r="C181" s="56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5.75" customHeight="1">
      <c r="A182" s="50"/>
      <c r="B182" s="50"/>
      <c r="C182" s="56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5.75" customHeight="1">
      <c r="A183" s="50"/>
      <c r="B183" s="50"/>
      <c r="C183" s="56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5.75" customHeight="1">
      <c r="A184" s="50"/>
      <c r="B184" s="50"/>
      <c r="C184" s="56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5.75" customHeight="1">
      <c r="A185" s="50"/>
      <c r="B185" s="50"/>
      <c r="C185" s="56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5.75" customHeight="1">
      <c r="A186" s="50"/>
      <c r="B186" s="50"/>
      <c r="C186" s="56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5.75" customHeight="1">
      <c r="A187" s="50"/>
      <c r="B187" s="50"/>
      <c r="C187" s="56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5.75" customHeight="1">
      <c r="A188" s="50"/>
      <c r="B188" s="50"/>
      <c r="C188" s="56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5.75" customHeight="1">
      <c r="A189" s="50"/>
      <c r="B189" s="50"/>
      <c r="C189" s="56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5.75" customHeight="1">
      <c r="A190" s="50"/>
      <c r="B190" s="50"/>
      <c r="C190" s="56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5.75" customHeight="1">
      <c r="A191" s="50"/>
      <c r="B191" s="50"/>
      <c r="C191" s="56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5.75" customHeight="1">
      <c r="A192" s="50"/>
      <c r="B192" s="50"/>
      <c r="C192" s="56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5.75" customHeight="1">
      <c r="A193" s="50"/>
      <c r="B193" s="50"/>
      <c r="C193" s="56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5.75" customHeight="1">
      <c r="A194" s="50"/>
      <c r="B194" s="50"/>
      <c r="C194" s="56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5.75" customHeight="1">
      <c r="A195" s="50"/>
      <c r="B195" s="50"/>
      <c r="C195" s="56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5.75" customHeight="1">
      <c r="A196" s="50"/>
      <c r="B196" s="50"/>
      <c r="C196" s="56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5.75" customHeight="1">
      <c r="A197" s="50"/>
      <c r="B197" s="50"/>
      <c r="C197" s="56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5.75" customHeight="1">
      <c r="A198" s="50"/>
      <c r="B198" s="50"/>
      <c r="C198" s="56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5.75" customHeight="1">
      <c r="A199" s="50"/>
      <c r="B199" s="50"/>
      <c r="C199" s="56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5.75" customHeight="1">
      <c r="A200" s="50"/>
      <c r="B200" s="50"/>
      <c r="C200" s="56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5.75" customHeight="1">
      <c r="A201" s="50"/>
      <c r="B201" s="50"/>
      <c r="C201" s="56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5.75" customHeight="1">
      <c r="A202" s="50"/>
      <c r="B202" s="50"/>
      <c r="C202" s="56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5.75" customHeight="1">
      <c r="A203" s="50"/>
      <c r="B203" s="50"/>
      <c r="C203" s="56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5.75" customHeight="1">
      <c r="A204" s="50"/>
      <c r="B204" s="50"/>
      <c r="C204" s="56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5.75" customHeight="1">
      <c r="A205" s="50"/>
      <c r="B205" s="50"/>
      <c r="C205" s="56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5.75" customHeight="1">
      <c r="A206" s="50"/>
      <c r="B206" s="50"/>
      <c r="C206" s="56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5.75" customHeight="1">
      <c r="A207" s="50"/>
      <c r="B207" s="50"/>
      <c r="C207" s="56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5.75" customHeight="1">
      <c r="A208" s="50"/>
      <c r="B208" s="50"/>
      <c r="C208" s="56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5.75" customHeight="1">
      <c r="A209" s="50"/>
      <c r="B209" s="50"/>
      <c r="C209" s="56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5.75" customHeight="1">
      <c r="A210" s="50"/>
      <c r="B210" s="50"/>
      <c r="C210" s="56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5.75" customHeight="1">
      <c r="A211" s="50"/>
      <c r="B211" s="50"/>
      <c r="C211" s="56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5.75" customHeight="1">
      <c r="A212" s="50"/>
      <c r="B212" s="50"/>
      <c r="C212" s="56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5.75" customHeight="1">
      <c r="A213" s="50"/>
      <c r="B213" s="50"/>
      <c r="C213" s="56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5.75" customHeight="1">
      <c r="A214" s="50"/>
      <c r="B214" s="50"/>
      <c r="C214" s="56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5.75" customHeight="1">
      <c r="A215" s="50"/>
      <c r="B215" s="50"/>
      <c r="C215" s="56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5.75" customHeight="1">
      <c r="A216" s="50"/>
      <c r="B216" s="50"/>
      <c r="C216" s="56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5.75" customHeight="1">
      <c r="A217" s="50"/>
      <c r="B217" s="50"/>
      <c r="C217" s="56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5.75" customHeight="1">
      <c r="A218" s="50"/>
      <c r="B218" s="50"/>
      <c r="C218" s="56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5.75" customHeight="1">
      <c r="A219" s="50"/>
      <c r="B219" s="50"/>
      <c r="C219" s="56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5.75" customHeight="1">
      <c r="A220" s="50"/>
      <c r="B220" s="50"/>
      <c r="C220" s="56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ht="15.75" customHeight="1">
      <c r="A221" s="50"/>
      <c r="B221" s="50"/>
      <c r="C221" s="56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ht="15.75" customHeight="1">
      <c r="A222" s="50"/>
      <c r="B222" s="50"/>
      <c r="C222" s="56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ht="15.75" customHeight="1">
      <c r="A223" s="50"/>
      <c r="B223" s="50"/>
      <c r="C223" s="56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ht="15.75" customHeight="1">
      <c r="A224" s="50"/>
      <c r="B224" s="50"/>
      <c r="C224" s="56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ht="15.75" customHeight="1">
      <c r="A225" s="50"/>
      <c r="B225" s="50"/>
      <c r="C225" s="56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ht="15.75" customHeight="1">
      <c r="A226" s="50"/>
      <c r="B226" s="50"/>
      <c r="C226" s="56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ht="15.75" customHeight="1">
      <c r="A227" s="50"/>
      <c r="B227" s="50"/>
      <c r="C227" s="56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ht="15.75" customHeight="1">
      <c r="A228" s="50"/>
      <c r="B228" s="50"/>
      <c r="C228" s="56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ht="15.75" customHeight="1">
      <c r="A229" s="50"/>
      <c r="B229" s="50"/>
      <c r="C229" s="56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ht="15.75" customHeight="1">
      <c r="A230" s="50"/>
      <c r="B230" s="50"/>
      <c r="C230" s="56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ht="15.75" customHeight="1">
      <c r="A231" s="50"/>
      <c r="B231" s="50"/>
      <c r="C231" s="56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ht="15.75" customHeight="1">
      <c r="A232" s="50"/>
      <c r="B232" s="50"/>
      <c r="C232" s="56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</sheetData>
  <autoFilter ref="$A$5:$D$28">
    <sortState ref="A5:D28">
      <sortCondition ref="B5:B28"/>
    </sortState>
  </autoFilter>
  <mergeCells count="3">
    <mergeCell ref="A3:B3"/>
    <mergeCell ref="G3:H3"/>
    <mergeCell ref="M3:N3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41.43"/>
    <col customWidth="1" min="3" max="3" width="5.86"/>
    <col customWidth="1" min="4" max="4" width="19.0"/>
    <col customWidth="1" min="5" max="11" width="5.86"/>
    <col customWidth="1" min="12" max="12" width="29.71"/>
    <col customWidth="1" min="13" max="13" width="8.71"/>
    <col customWidth="1" min="14" max="14" width="18.0"/>
    <col customWidth="1" min="15" max="18" width="8.71"/>
    <col customWidth="1" min="19" max="19" width="33.86"/>
    <col customWidth="1" min="20" max="20" width="8.71"/>
    <col customWidth="1" min="21" max="21" width="15.43"/>
    <col customWidth="1" min="22" max="24" width="8.71"/>
    <col customWidth="1" min="25" max="25" width="34.43"/>
    <col customWidth="1" min="26" max="26" width="8.71"/>
    <col customWidth="1" min="27" max="27" width="17.43"/>
    <col customWidth="1" min="28" max="31" width="8.71"/>
  </cols>
  <sheetData>
    <row r="2">
      <c r="A2" s="23" t="s">
        <v>602</v>
      </c>
      <c r="B2" s="23"/>
      <c r="C2" s="23"/>
      <c r="D2" s="23"/>
      <c r="E2" s="23"/>
      <c r="F2" s="23"/>
      <c r="G2" s="23"/>
      <c r="H2" s="23"/>
      <c r="I2" s="23"/>
      <c r="J2" s="23"/>
      <c r="K2" s="23" t="s">
        <v>603</v>
      </c>
      <c r="L2" s="23"/>
      <c r="M2" s="23"/>
      <c r="N2" s="23"/>
      <c r="O2" s="23"/>
      <c r="P2" s="23"/>
      <c r="Q2" s="23"/>
      <c r="R2" s="23" t="s">
        <v>604</v>
      </c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</row>
    <row r="4">
      <c r="A4" s="25" t="s">
        <v>74</v>
      </c>
      <c r="B4" s="25" t="s">
        <v>75</v>
      </c>
      <c r="C4" s="25" t="s">
        <v>76</v>
      </c>
      <c r="D4" s="25" t="s">
        <v>78</v>
      </c>
      <c r="E4" s="55"/>
      <c r="F4" s="55"/>
      <c r="G4" s="55"/>
      <c r="H4" s="55"/>
      <c r="I4" s="55"/>
      <c r="J4" s="55"/>
      <c r="K4" s="25" t="s">
        <v>74</v>
      </c>
      <c r="L4" s="25" t="s">
        <v>75</v>
      </c>
      <c r="M4" s="25" t="s">
        <v>76</v>
      </c>
      <c r="N4" s="25" t="s">
        <v>78</v>
      </c>
      <c r="R4" s="25" t="s">
        <v>74</v>
      </c>
      <c r="S4" s="25" t="s">
        <v>75</v>
      </c>
      <c r="T4" s="25" t="s">
        <v>76</v>
      </c>
      <c r="U4" s="25" t="s">
        <v>78</v>
      </c>
      <c r="X4" s="55"/>
      <c r="Y4" s="55"/>
      <c r="Z4" s="55"/>
      <c r="AA4" s="55"/>
    </row>
    <row r="5" ht="15.75" customHeight="1">
      <c r="A5" s="38">
        <v>1.0</v>
      </c>
      <c r="B5" s="27" t="s">
        <v>605</v>
      </c>
      <c r="C5" s="26" t="s">
        <v>80</v>
      </c>
      <c r="D5" s="26" t="s">
        <v>58</v>
      </c>
      <c r="E5" s="62"/>
      <c r="F5" s="62"/>
      <c r="G5" s="62"/>
      <c r="H5" s="62"/>
      <c r="I5" s="62"/>
      <c r="J5" s="62"/>
      <c r="K5" s="38">
        <v>1.0</v>
      </c>
      <c r="L5" s="27" t="s">
        <v>606</v>
      </c>
      <c r="M5" s="26" t="s">
        <v>80</v>
      </c>
      <c r="N5" s="26" t="s">
        <v>52</v>
      </c>
      <c r="O5" s="34"/>
      <c r="P5" s="34"/>
      <c r="Q5" s="34"/>
      <c r="R5" s="26">
        <v>1.0</v>
      </c>
      <c r="S5" s="27" t="s">
        <v>607</v>
      </c>
      <c r="T5" s="28" t="s">
        <v>85</v>
      </c>
      <c r="U5" s="26" t="s">
        <v>55</v>
      </c>
      <c r="V5" s="34"/>
      <c r="X5" s="62"/>
    </row>
    <row r="6">
      <c r="A6" s="38">
        <v>2.0</v>
      </c>
      <c r="B6" s="27" t="s">
        <v>608</v>
      </c>
      <c r="C6" s="26" t="s">
        <v>80</v>
      </c>
      <c r="D6" s="26" t="s">
        <v>55</v>
      </c>
      <c r="E6" s="62"/>
      <c r="F6" s="62"/>
      <c r="G6" s="62"/>
      <c r="H6" s="62"/>
      <c r="I6" s="62"/>
      <c r="J6" s="62"/>
      <c r="K6" s="38">
        <v>2.0</v>
      </c>
      <c r="L6" s="27" t="s">
        <v>609</v>
      </c>
      <c r="M6" s="26" t="s">
        <v>80</v>
      </c>
      <c r="N6" s="26" t="s">
        <v>55</v>
      </c>
      <c r="O6" s="34"/>
      <c r="P6" s="34"/>
      <c r="Q6" s="34"/>
      <c r="R6" s="26">
        <v>2.0</v>
      </c>
      <c r="S6" s="27" t="s">
        <v>610</v>
      </c>
      <c r="T6" s="26" t="s">
        <v>80</v>
      </c>
      <c r="U6" s="26" t="s">
        <v>58</v>
      </c>
      <c r="V6" s="34"/>
      <c r="X6" s="62"/>
    </row>
    <row r="7">
      <c r="A7" s="38">
        <v>3.0</v>
      </c>
      <c r="B7" s="27" t="s">
        <v>611</v>
      </c>
      <c r="C7" s="26" t="s">
        <v>80</v>
      </c>
      <c r="D7" s="26" t="s">
        <v>58</v>
      </c>
      <c r="E7" s="62"/>
      <c r="F7" s="62"/>
      <c r="G7" s="62"/>
      <c r="H7" s="62"/>
      <c r="I7" s="62"/>
      <c r="J7" s="62"/>
      <c r="K7" s="38">
        <v>3.0</v>
      </c>
      <c r="L7" s="27" t="s">
        <v>612</v>
      </c>
      <c r="M7" s="26" t="s">
        <v>80</v>
      </c>
      <c r="N7" s="26" t="s">
        <v>52</v>
      </c>
      <c r="O7" s="34"/>
      <c r="P7" s="34"/>
      <c r="Q7" s="34"/>
      <c r="R7" s="26">
        <v>3.0</v>
      </c>
      <c r="S7" s="27" t="s">
        <v>613</v>
      </c>
      <c r="T7" s="28" t="s">
        <v>85</v>
      </c>
      <c r="U7" s="28" t="s">
        <v>52</v>
      </c>
      <c r="V7" s="34"/>
      <c r="X7" s="62"/>
    </row>
    <row r="8">
      <c r="A8" s="38">
        <v>4.0</v>
      </c>
      <c r="B8" s="27" t="s">
        <v>614</v>
      </c>
      <c r="C8" s="26" t="s">
        <v>85</v>
      </c>
      <c r="D8" s="26" t="s">
        <v>52</v>
      </c>
      <c r="E8" s="62"/>
      <c r="F8" s="62"/>
      <c r="G8" s="62"/>
      <c r="H8" s="62"/>
      <c r="I8" s="62"/>
      <c r="J8" s="62"/>
      <c r="K8" s="38">
        <v>4.0</v>
      </c>
      <c r="L8" s="27" t="s">
        <v>615</v>
      </c>
      <c r="M8" s="26" t="s">
        <v>85</v>
      </c>
      <c r="N8" s="26" t="s">
        <v>52</v>
      </c>
      <c r="O8" s="34"/>
      <c r="P8" s="34"/>
      <c r="Q8" s="34"/>
      <c r="R8" s="26">
        <v>4.0</v>
      </c>
      <c r="S8" s="27" t="s">
        <v>616</v>
      </c>
      <c r="T8" s="26" t="s">
        <v>80</v>
      </c>
      <c r="U8" s="26" t="s">
        <v>52</v>
      </c>
      <c r="V8" s="34"/>
      <c r="X8" s="62"/>
    </row>
    <row r="9">
      <c r="A9" s="38">
        <v>5.0</v>
      </c>
      <c r="B9" s="27" t="s">
        <v>617</v>
      </c>
      <c r="C9" s="26" t="s">
        <v>85</v>
      </c>
      <c r="D9" s="26" t="s">
        <v>58</v>
      </c>
      <c r="E9" s="62"/>
      <c r="F9" s="62"/>
      <c r="G9" s="62"/>
      <c r="H9" s="62"/>
      <c r="I9" s="62"/>
      <c r="J9" s="62"/>
      <c r="K9" s="38">
        <v>5.0</v>
      </c>
      <c r="L9" s="27" t="s">
        <v>618</v>
      </c>
      <c r="M9" s="26" t="s">
        <v>85</v>
      </c>
      <c r="N9" s="26" t="s">
        <v>58</v>
      </c>
      <c r="O9" s="34"/>
      <c r="P9" s="34"/>
      <c r="Q9" s="34"/>
      <c r="R9" s="26">
        <v>5.0</v>
      </c>
      <c r="S9" s="27" t="s">
        <v>619</v>
      </c>
      <c r="T9" s="26" t="s">
        <v>80</v>
      </c>
      <c r="U9" s="26" t="s">
        <v>58</v>
      </c>
      <c r="V9" s="34"/>
      <c r="X9" s="62"/>
    </row>
    <row r="10">
      <c r="A10" s="38">
        <v>6.0</v>
      </c>
      <c r="B10" s="27" t="s">
        <v>620</v>
      </c>
      <c r="C10" s="26" t="s">
        <v>80</v>
      </c>
      <c r="D10" s="26" t="s">
        <v>52</v>
      </c>
      <c r="E10" s="62"/>
      <c r="F10" s="62"/>
      <c r="G10" s="62"/>
      <c r="H10" s="62"/>
      <c r="I10" s="62"/>
      <c r="J10" s="62"/>
      <c r="K10" s="38">
        <v>6.0</v>
      </c>
      <c r="L10" s="27" t="s">
        <v>621</v>
      </c>
      <c r="M10" s="26" t="s">
        <v>85</v>
      </c>
      <c r="N10" s="26" t="s">
        <v>58</v>
      </c>
      <c r="O10" s="34"/>
      <c r="P10" s="34"/>
      <c r="Q10" s="34"/>
      <c r="R10" s="26">
        <v>6.0</v>
      </c>
      <c r="S10" s="27" t="s">
        <v>622</v>
      </c>
      <c r="T10" s="26" t="s">
        <v>80</v>
      </c>
      <c r="U10" s="26" t="s">
        <v>55</v>
      </c>
      <c r="V10" s="34"/>
      <c r="X10" s="62"/>
    </row>
    <row r="11">
      <c r="A11" s="38">
        <v>7.0</v>
      </c>
      <c r="B11" s="34" t="s">
        <v>623</v>
      </c>
      <c r="C11" s="26" t="s">
        <v>80</v>
      </c>
      <c r="D11" s="26" t="s">
        <v>58</v>
      </c>
      <c r="E11" s="62"/>
      <c r="F11" s="62"/>
      <c r="G11" s="62"/>
      <c r="H11" s="62"/>
      <c r="I11" s="62"/>
      <c r="J11" s="62"/>
      <c r="K11" s="38">
        <v>7.0</v>
      </c>
      <c r="L11" s="27" t="s">
        <v>624</v>
      </c>
      <c r="M11" s="26" t="s">
        <v>80</v>
      </c>
      <c r="N11" s="26" t="s">
        <v>58</v>
      </c>
      <c r="O11" s="34"/>
      <c r="P11" s="34"/>
      <c r="Q11" s="34"/>
      <c r="R11" s="26">
        <v>7.0</v>
      </c>
      <c r="S11" s="27" t="s">
        <v>625</v>
      </c>
      <c r="T11" s="26" t="s">
        <v>80</v>
      </c>
      <c r="U11" s="26" t="s">
        <v>55</v>
      </c>
      <c r="V11" s="34"/>
      <c r="X11" s="62"/>
    </row>
    <row r="12">
      <c r="A12" s="38">
        <v>8.0</v>
      </c>
      <c r="B12" s="27" t="s">
        <v>626</v>
      </c>
      <c r="C12" s="26" t="s">
        <v>80</v>
      </c>
      <c r="D12" s="26" t="s">
        <v>55</v>
      </c>
      <c r="E12" s="62"/>
      <c r="F12" s="62"/>
      <c r="G12" s="62"/>
      <c r="H12" s="62"/>
      <c r="I12" s="62"/>
      <c r="J12" s="62"/>
      <c r="K12" s="38">
        <v>8.0</v>
      </c>
      <c r="L12" s="27" t="s">
        <v>627</v>
      </c>
      <c r="M12" s="26" t="s">
        <v>80</v>
      </c>
      <c r="N12" s="26" t="s">
        <v>52</v>
      </c>
      <c r="O12" s="34"/>
      <c r="P12" s="34"/>
      <c r="Q12" s="34"/>
      <c r="R12" s="26">
        <v>8.0</v>
      </c>
      <c r="S12" s="34" t="s">
        <v>628</v>
      </c>
      <c r="T12" s="26" t="s">
        <v>80</v>
      </c>
      <c r="U12" s="26" t="s">
        <v>52</v>
      </c>
      <c r="V12" s="34"/>
      <c r="X12" s="62"/>
    </row>
    <row r="13">
      <c r="A13" s="38">
        <v>9.0</v>
      </c>
      <c r="B13" s="27" t="s">
        <v>629</v>
      </c>
      <c r="C13" s="26" t="s">
        <v>80</v>
      </c>
      <c r="D13" s="26" t="s">
        <v>52</v>
      </c>
      <c r="E13" s="62"/>
      <c r="F13" s="62"/>
      <c r="G13" s="62"/>
      <c r="H13" s="62"/>
      <c r="I13" s="62"/>
      <c r="J13" s="62"/>
      <c r="K13" s="38">
        <v>9.0</v>
      </c>
      <c r="L13" s="27" t="s">
        <v>630</v>
      </c>
      <c r="M13" s="26" t="s">
        <v>85</v>
      </c>
      <c r="N13" s="26" t="s">
        <v>52</v>
      </c>
      <c r="O13" s="34"/>
      <c r="P13" s="34"/>
      <c r="Q13" s="34"/>
      <c r="R13" s="26">
        <v>9.0</v>
      </c>
      <c r="S13" s="27" t="s">
        <v>631</v>
      </c>
      <c r="T13" s="26" t="s">
        <v>80</v>
      </c>
      <c r="U13" s="26" t="s">
        <v>58</v>
      </c>
      <c r="V13" s="34"/>
      <c r="X13" s="62"/>
    </row>
    <row r="14">
      <c r="A14" s="38">
        <v>10.0</v>
      </c>
      <c r="B14" s="27" t="s">
        <v>632</v>
      </c>
      <c r="C14" s="26" t="s">
        <v>85</v>
      </c>
      <c r="D14" s="26" t="s">
        <v>55</v>
      </c>
      <c r="E14" s="62"/>
      <c r="F14" s="62"/>
      <c r="G14" s="62"/>
      <c r="H14" s="62"/>
      <c r="I14" s="62"/>
      <c r="J14" s="62"/>
      <c r="K14" s="38">
        <v>10.0</v>
      </c>
      <c r="L14" s="27" t="s">
        <v>633</v>
      </c>
      <c r="M14" s="26" t="s">
        <v>85</v>
      </c>
      <c r="N14" s="26" t="s">
        <v>55</v>
      </c>
      <c r="O14" s="34"/>
      <c r="P14" s="34"/>
      <c r="Q14" s="34"/>
      <c r="R14" s="26">
        <v>10.0</v>
      </c>
      <c r="S14" s="31" t="s">
        <v>634</v>
      </c>
      <c r="T14" s="28" t="s">
        <v>85</v>
      </c>
      <c r="U14" s="28" t="s">
        <v>52</v>
      </c>
      <c r="V14" s="34"/>
      <c r="X14" s="62"/>
    </row>
    <row r="15">
      <c r="A15" s="38">
        <v>11.0</v>
      </c>
      <c r="B15" s="27" t="s">
        <v>635</v>
      </c>
      <c r="C15" s="26" t="s">
        <v>85</v>
      </c>
      <c r="D15" s="26" t="s">
        <v>58</v>
      </c>
      <c r="E15" s="62"/>
      <c r="F15" s="62"/>
      <c r="G15" s="62"/>
      <c r="H15" s="62"/>
      <c r="I15" s="62"/>
      <c r="J15" s="62"/>
      <c r="K15" s="38">
        <v>11.0</v>
      </c>
      <c r="L15" s="27" t="s">
        <v>636</v>
      </c>
      <c r="M15" s="26" t="s">
        <v>80</v>
      </c>
      <c r="N15" s="26" t="s">
        <v>58</v>
      </c>
      <c r="O15" s="34"/>
      <c r="P15" s="34"/>
      <c r="Q15" s="34"/>
      <c r="R15" s="26">
        <v>11.0</v>
      </c>
      <c r="S15" s="27" t="s">
        <v>637</v>
      </c>
      <c r="T15" s="28" t="s">
        <v>85</v>
      </c>
      <c r="U15" s="26" t="s">
        <v>58</v>
      </c>
      <c r="V15" s="34"/>
      <c r="X15" s="62"/>
    </row>
    <row r="16">
      <c r="A16" s="38">
        <v>12.0</v>
      </c>
      <c r="B16" s="27" t="s">
        <v>638</v>
      </c>
      <c r="C16" s="26" t="s">
        <v>85</v>
      </c>
      <c r="D16" s="26" t="s">
        <v>52</v>
      </c>
      <c r="E16" s="62"/>
      <c r="F16" s="62"/>
      <c r="G16" s="62"/>
      <c r="H16" s="62"/>
      <c r="I16" s="62"/>
      <c r="J16" s="62"/>
      <c r="K16" s="38">
        <v>12.0</v>
      </c>
      <c r="L16" s="27" t="s">
        <v>639</v>
      </c>
      <c r="M16" s="26" t="s">
        <v>85</v>
      </c>
      <c r="N16" s="26" t="s">
        <v>52</v>
      </c>
      <c r="O16" s="34"/>
      <c r="P16" s="34"/>
      <c r="Q16" s="34"/>
      <c r="R16" s="26">
        <v>12.0</v>
      </c>
      <c r="S16" s="27" t="s">
        <v>640</v>
      </c>
      <c r="T16" s="26" t="s">
        <v>80</v>
      </c>
      <c r="U16" s="26" t="s">
        <v>55</v>
      </c>
      <c r="V16" s="34"/>
      <c r="X16" s="62"/>
    </row>
    <row r="17">
      <c r="A17" s="38">
        <v>13.0</v>
      </c>
      <c r="B17" s="27" t="s">
        <v>641</v>
      </c>
      <c r="C17" s="26" t="s">
        <v>80</v>
      </c>
      <c r="D17" s="26" t="s">
        <v>52</v>
      </c>
      <c r="E17" s="62"/>
      <c r="F17" s="62"/>
      <c r="G17" s="62"/>
      <c r="H17" s="62"/>
      <c r="I17" s="62"/>
      <c r="J17" s="62"/>
      <c r="K17" s="38">
        <v>13.0</v>
      </c>
      <c r="L17" s="27" t="s">
        <v>642</v>
      </c>
      <c r="M17" s="26" t="s">
        <v>80</v>
      </c>
      <c r="N17" s="26" t="s">
        <v>55</v>
      </c>
      <c r="O17" s="34"/>
      <c r="P17" s="34"/>
      <c r="Q17" s="34"/>
      <c r="R17" s="26">
        <v>13.0</v>
      </c>
      <c r="S17" s="27" t="s">
        <v>643</v>
      </c>
      <c r="T17" s="28" t="s">
        <v>85</v>
      </c>
      <c r="U17" s="26" t="s">
        <v>58</v>
      </c>
      <c r="V17" s="34"/>
      <c r="X17" s="62"/>
    </row>
    <row r="18">
      <c r="A18" s="38">
        <v>14.0</v>
      </c>
      <c r="B18" s="27" t="s">
        <v>644</v>
      </c>
      <c r="C18" s="26" t="s">
        <v>80</v>
      </c>
      <c r="D18" s="26" t="s">
        <v>58</v>
      </c>
      <c r="E18" s="62"/>
      <c r="F18" s="62"/>
      <c r="G18" s="62"/>
      <c r="H18" s="62"/>
      <c r="I18" s="62"/>
      <c r="J18" s="62"/>
      <c r="K18" s="38">
        <v>14.0</v>
      </c>
      <c r="L18" s="27" t="s">
        <v>645</v>
      </c>
      <c r="M18" s="26" t="s">
        <v>80</v>
      </c>
      <c r="N18" s="26" t="s">
        <v>52</v>
      </c>
      <c r="O18" s="34"/>
      <c r="P18" s="34"/>
      <c r="Q18" s="34"/>
      <c r="R18" s="26">
        <v>14.0</v>
      </c>
      <c r="S18" s="27" t="s">
        <v>646</v>
      </c>
      <c r="T18" s="26" t="s">
        <v>80</v>
      </c>
      <c r="U18" s="26" t="s">
        <v>55</v>
      </c>
      <c r="V18" s="34"/>
      <c r="X18" s="62"/>
    </row>
    <row r="19">
      <c r="A19" s="38">
        <v>15.0</v>
      </c>
      <c r="B19" s="27" t="s">
        <v>647</v>
      </c>
      <c r="C19" s="26" t="s">
        <v>80</v>
      </c>
      <c r="D19" s="26" t="s">
        <v>58</v>
      </c>
      <c r="E19" s="62"/>
      <c r="F19" s="62"/>
      <c r="G19" s="62"/>
      <c r="H19" s="62"/>
      <c r="I19" s="62"/>
      <c r="J19" s="62"/>
      <c r="K19" s="38">
        <v>15.0</v>
      </c>
      <c r="L19" s="27" t="s">
        <v>648</v>
      </c>
      <c r="M19" s="26" t="s">
        <v>85</v>
      </c>
      <c r="N19" s="26" t="s">
        <v>55</v>
      </c>
      <c r="O19" s="34"/>
      <c r="P19" s="34"/>
      <c r="Q19" s="34"/>
      <c r="R19" s="26">
        <v>15.0</v>
      </c>
      <c r="S19" s="27" t="s">
        <v>649</v>
      </c>
      <c r="T19" s="28" t="s">
        <v>85</v>
      </c>
      <c r="U19" s="28" t="s">
        <v>52</v>
      </c>
      <c r="V19" s="34"/>
      <c r="X19" s="62"/>
    </row>
    <row r="20">
      <c r="A20" s="38">
        <v>16.0</v>
      </c>
      <c r="B20" s="27" t="s">
        <v>650</v>
      </c>
      <c r="C20" s="26" t="s">
        <v>85</v>
      </c>
      <c r="D20" s="26" t="s">
        <v>55</v>
      </c>
      <c r="E20" s="62"/>
      <c r="F20" s="62"/>
      <c r="G20" s="62"/>
      <c r="H20" s="62"/>
      <c r="I20" s="62"/>
      <c r="J20" s="62"/>
      <c r="K20" s="38">
        <v>16.0</v>
      </c>
      <c r="L20" s="27" t="s">
        <v>651</v>
      </c>
      <c r="M20" s="26" t="s">
        <v>80</v>
      </c>
      <c r="N20" s="26" t="s">
        <v>58</v>
      </c>
      <c r="O20" s="34"/>
      <c r="P20" s="34"/>
      <c r="Q20" s="34"/>
      <c r="R20" s="26">
        <v>16.0</v>
      </c>
      <c r="S20" s="27" t="s">
        <v>652</v>
      </c>
      <c r="T20" s="26" t="s">
        <v>80</v>
      </c>
      <c r="U20" s="26" t="s">
        <v>52</v>
      </c>
      <c r="V20" s="34"/>
      <c r="X20" s="62"/>
    </row>
    <row r="21" ht="15.75" customHeight="1">
      <c r="A21" s="38">
        <v>17.0</v>
      </c>
      <c r="B21" s="27" t="s">
        <v>653</v>
      </c>
      <c r="C21" s="26" t="s">
        <v>85</v>
      </c>
      <c r="D21" s="26" t="s">
        <v>55</v>
      </c>
      <c r="E21" s="62"/>
      <c r="F21" s="62"/>
      <c r="G21" s="62"/>
      <c r="H21" s="62"/>
      <c r="I21" s="62"/>
      <c r="J21" s="62"/>
      <c r="K21" s="38">
        <v>17.0</v>
      </c>
      <c r="L21" s="27" t="s">
        <v>654</v>
      </c>
      <c r="M21" s="26" t="s">
        <v>80</v>
      </c>
      <c r="N21" s="26" t="s">
        <v>55</v>
      </c>
      <c r="O21" s="34"/>
      <c r="P21" s="34"/>
      <c r="Q21" s="34"/>
      <c r="R21" s="26">
        <v>17.0</v>
      </c>
      <c r="S21" s="27" t="s">
        <v>655</v>
      </c>
      <c r="T21" s="28" t="s">
        <v>85</v>
      </c>
      <c r="U21" s="28" t="s">
        <v>52</v>
      </c>
      <c r="V21" s="34"/>
      <c r="X21" s="62"/>
    </row>
    <row r="22" ht="15.75" customHeight="1">
      <c r="A22" s="38">
        <v>18.0</v>
      </c>
      <c r="B22" s="31" t="s">
        <v>656</v>
      </c>
      <c r="C22" s="26" t="s">
        <v>85</v>
      </c>
      <c r="D22" s="26" t="s">
        <v>52</v>
      </c>
      <c r="E22" s="62"/>
      <c r="F22" s="62"/>
      <c r="G22" s="62"/>
      <c r="H22" s="62"/>
      <c r="I22" s="62"/>
      <c r="J22" s="62"/>
      <c r="K22" s="38">
        <v>18.0</v>
      </c>
      <c r="L22" s="27" t="s">
        <v>657</v>
      </c>
      <c r="M22" s="26" t="s">
        <v>85</v>
      </c>
      <c r="N22" s="26" t="s">
        <v>55</v>
      </c>
      <c r="O22" s="34"/>
      <c r="P22" s="34"/>
      <c r="Q22" s="34"/>
      <c r="R22" s="26">
        <v>18.0</v>
      </c>
      <c r="S22" s="27" t="s">
        <v>658</v>
      </c>
      <c r="T22" s="28" t="s">
        <v>85</v>
      </c>
      <c r="U22" s="26" t="s">
        <v>55</v>
      </c>
      <c r="V22" s="34"/>
      <c r="X22" s="62"/>
    </row>
    <row r="23" ht="15.75" customHeight="1">
      <c r="A23" s="38">
        <v>19.0</v>
      </c>
      <c r="B23" s="31" t="s">
        <v>659</v>
      </c>
      <c r="C23" s="26" t="s">
        <v>85</v>
      </c>
      <c r="D23" s="26" t="s">
        <v>58</v>
      </c>
      <c r="E23" s="62"/>
      <c r="F23" s="62"/>
      <c r="G23" s="62"/>
      <c r="H23" s="62"/>
      <c r="I23" s="62"/>
      <c r="J23" s="62"/>
      <c r="K23" s="38">
        <v>19.0</v>
      </c>
      <c r="L23" s="31" t="s">
        <v>660</v>
      </c>
      <c r="M23" s="26" t="s">
        <v>85</v>
      </c>
      <c r="N23" s="26" t="s">
        <v>58</v>
      </c>
      <c r="O23" s="34"/>
      <c r="P23" s="34"/>
      <c r="Q23" s="34"/>
      <c r="R23" s="26">
        <v>19.0</v>
      </c>
      <c r="S23" s="31" t="s">
        <v>661</v>
      </c>
      <c r="T23" s="28" t="s">
        <v>85</v>
      </c>
      <c r="U23" s="26" t="s">
        <v>58</v>
      </c>
      <c r="V23" s="34"/>
      <c r="X23" s="62"/>
    </row>
    <row r="24" ht="15.75" customHeight="1">
      <c r="A24" s="38">
        <v>20.0</v>
      </c>
      <c r="B24" s="31" t="s">
        <v>662</v>
      </c>
      <c r="C24" s="26" t="s">
        <v>85</v>
      </c>
      <c r="D24" s="26" t="s">
        <v>58</v>
      </c>
      <c r="E24" s="62"/>
      <c r="F24" s="62"/>
      <c r="G24" s="62"/>
      <c r="H24" s="62"/>
      <c r="I24" s="62"/>
      <c r="J24" s="62"/>
      <c r="K24" s="38">
        <v>20.0</v>
      </c>
      <c r="L24" s="31" t="s">
        <v>663</v>
      </c>
      <c r="M24" s="26" t="s">
        <v>80</v>
      </c>
      <c r="N24" s="26" t="s">
        <v>55</v>
      </c>
      <c r="O24" s="34"/>
      <c r="P24" s="34"/>
      <c r="Q24" s="34"/>
      <c r="R24" s="26">
        <v>20.0</v>
      </c>
      <c r="S24" s="31" t="s">
        <v>664</v>
      </c>
      <c r="T24" s="26" t="s">
        <v>80</v>
      </c>
      <c r="U24" s="26" t="s">
        <v>52</v>
      </c>
      <c r="V24" s="34"/>
      <c r="X24" s="62"/>
    </row>
    <row r="25" ht="15.75" customHeight="1">
      <c r="A25" s="38">
        <v>21.0</v>
      </c>
      <c r="B25" s="27" t="s">
        <v>665</v>
      </c>
      <c r="C25" s="45" t="s">
        <v>80</v>
      </c>
      <c r="D25" s="45" t="s">
        <v>55</v>
      </c>
      <c r="E25" s="62"/>
      <c r="F25" s="62"/>
      <c r="G25" s="62"/>
      <c r="H25" s="62"/>
      <c r="I25" s="62"/>
      <c r="J25" s="62"/>
      <c r="K25" s="38">
        <v>21.0</v>
      </c>
      <c r="L25" s="31" t="s">
        <v>666</v>
      </c>
      <c r="M25" s="26" t="s">
        <v>85</v>
      </c>
      <c r="N25" s="26" t="s">
        <v>55</v>
      </c>
      <c r="O25" s="34"/>
      <c r="P25" s="34"/>
      <c r="Q25" s="34"/>
      <c r="R25" s="26">
        <v>21.0</v>
      </c>
      <c r="S25" s="31" t="s">
        <v>667</v>
      </c>
      <c r="T25" s="28" t="s">
        <v>85</v>
      </c>
      <c r="U25" s="26" t="s">
        <v>55</v>
      </c>
      <c r="V25" s="34"/>
      <c r="X25" s="62"/>
    </row>
    <row r="26" ht="15.75" customHeight="1">
      <c r="A26" s="38">
        <v>22.0</v>
      </c>
      <c r="B26" s="31" t="s">
        <v>668</v>
      </c>
      <c r="C26" s="26" t="s">
        <v>80</v>
      </c>
      <c r="D26" s="26" t="s">
        <v>55</v>
      </c>
      <c r="E26" s="62"/>
      <c r="F26" s="62"/>
      <c r="G26" s="62"/>
      <c r="H26" s="62"/>
      <c r="I26" s="62"/>
      <c r="J26" s="62"/>
      <c r="K26" s="38">
        <v>22.0</v>
      </c>
      <c r="L26" s="31" t="s">
        <v>669</v>
      </c>
      <c r="M26" s="26" t="s">
        <v>80</v>
      </c>
      <c r="N26" s="26" t="s">
        <v>58</v>
      </c>
      <c r="O26" s="34"/>
      <c r="P26" s="34"/>
      <c r="Q26" s="34"/>
      <c r="R26" s="26">
        <v>22.0</v>
      </c>
      <c r="S26" s="31"/>
      <c r="T26" s="26"/>
      <c r="U26" s="26"/>
      <c r="V26" s="34"/>
      <c r="X26" s="62"/>
    </row>
    <row r="27" ht="15.7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</row>
    <row r="28" ht="15.75" customHeight="1">
      <c r="A28" s="34"/>
      <c r="B28" s="37" t="s">
        <v>229</v>
      </c>
      <c r="C28" s="37" t="str">
        <f>COUNTIF(C2:C26,"L")</f>
        <v>10</v>
      </c>
      <c r="D28" s="34"/>
      <c r="E28" s="34"/>
      <c r="F28" s="34"/>
      <c r="G28" s="34"/>
      <c r="H28" s="34"/>
      <c r="I28" s="34"/>
      <c r="J28" s="34"/>
      <c r="K28" s="34"/>
      <c r="L28" s="37" t="s">
        <v>229</v>
      </c>
      <c r="M28" s="37" t="str">
        <f>COUNTIF(M2:M26,"L")</f>
        <v>10</v>
      </c>
      <c r="N28" s="34"/>
      <c r="O28" s="34"/>
      <c r="P28" s="34"/>
      <c r="Q28" s="34"/>
      <c r="R28" s="34"/>
      <c r="S28" s="37" t="s">
        <v>229</v>
      </c>
      <c r="T28" s="37" t="str">
        <f>COUNTIF(T2:T26,"L")</f>
        <v>10</v>
      </c>
      <c r="U28" s="34"/>
      <c r="V28" s="34"/>
    </row>
    <row r="29" ht="15.75" customHeight="1">
      <c r="A29" s="34"/>
      <c r="B29" s="37" t="s">
        <v>230</v>
      </c>
      <c r="C29" s="37" t="str">
        <f>COUNTIF(C2:C26,"P")</f>
        <v>12</v>
      </c>
      <c r="D29" s="34"/>
      <c r="E29" s="34"/>
      <c r="F29" s="34"/>
      <c r="G29" s="34"/>
      <c r="H29" s="34"/>
      <c r="I29" s="34"/>
      <c r="J29" s="34"/>
      <c r="K29" s="34"/>
      <c r="L29" s="37" t="s">
        <v>230</v>
      </c>
      <c r="M29" s="37" t="str">
        <f>COUNTIF(M2:M26,"P")</f>
        <v>12</v>
      </c>
      <c r="N29" s="34"/>
      <c r="O29" s="34"/>
      <c r="P29" s="34"/>
      <c r="Q29" s="34"/>
      <c r="R29" s="34"/>
      <c r="S29" s="37" t="s">
        <v>230</v>
      </c>
      <c r="T29" s="37" t="str">
        <f>COUNTIF(T2:T26,"P")</f>
        <v>11</v>
      </c>
      <c r="U29" s="34"/>
      <c r="V29" s="34"/>
    </row>
    <row r="30" ht="15.75" customHeight="1">
      <c r="A30" s="34"/>
      <c r="B30" s="37" t="s">
        <v>231</v>
      </c>
      <c r="C30" s="37" t="str">
        <f>SUM(C28:C29)</f>
        <v>22</v>
      </c>
      <c r="D30" s="34"/>
      <c r="E30" s="34"/>
      <c r="F30" s="34"/>
      <c r="G30" s="34"/>
      <c r="H30" s="34"/>
      <c r="I30" s="34"/>
      <c r="J30" s="34"/>
      <c r="K30" s="34"/>
      <c r="L30" s="37" t="s">
        <v>231</v>
      </c>
      <c r="M30" s="37" t="str">
        <f>SUM(M28:M29)</f>
        <v>22</v>
      </c>
      <c r="N30" s="34"/>
      <c r="O30" s="34"/>
      <c r="P30" s="34"/>
      <c r="Q30" s="34"/>
      <c r="R30" s="34"/>
      <c r="S30" s="37" t="s">
        <v>231</v>
      </c>
      <c r="T30" s="37" t="str">
        <f>SUM(T28:T29)</f>
        <v>21</v>
      </c>
      <c r="U30" s="34"/>
      <c r="V30" s="34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</sheetData>
  <autoFilter ref="$K$4:$N$26">
    <sortState ref="K4:N26">
      <sortCondition ref="L4:L26"/>
    </sortState>
  </autoFilter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7</vt:i4>
      </vt:variant>
    </vt:vector>
  </HeadingPairs>
  <TitlesOfParts>
    <vt:vector baseType="lpstr" size="7">
      <vt:lpstr>Jumlah</vt:lpstr>
      <vt:lpstr>KELAS 1</vt:lpstr>
      <vt:lpstr>KELAS 2</vt:lpstr>
      <vt:lpstr>KELAS 3</vt:lpstr>
      <vt:lpstr>KELAS 4</vt:lpstr>
      <vt:lpstr>KELAS 5</vt:lpstr>
      <vt:lpstr>KELAS 6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2024-06-18T14:17:57Z</dcterms:created>
  <dc:creator>zkaromah@outlook.com</dc:creator>
  <cp:lastModifiedBy>Nilna Isarotal Himmah</cp:lastModifiedBy>
  <dcterms:modified xsi:type="dcterms:W3CDTF">2026-07-09T05:46:54Z</dcterms:modified>
</cp:coreProperties>
</file>